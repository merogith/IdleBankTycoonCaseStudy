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arameters" sheetId="2" state="visible" r:id="rId4"/>
    <sheet name="Baseline Economy" sheetId="3" state="visible" r:id="rId5"/>
    <sheet name="Loan Desk (A)" sheetId="4" state="visible" r:id="rId6"/>
    <sheet name="Ad Tuning (B)" sheetId="5" state="visible" r:id="rId7"/>
    <sheet name="KPI Impact" sheetId="6" state="visible" r:id="rId8"/>
    <sheet name="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<sst xmlns="http://schemas.openxmlformats.org/spreadsheetml/2006/main" count="345" uniqueCount="277">
  <si>
    <t xml:space="preserve">IDLE BANK TYCOON  ·  GAME ECONOMY CASE STUDY</t>
  </si>
  <si>
    <t xml:space="preserve">A working economy model: (A) a soft-currency sink feature  +  (B) rewarded-ad reward tuning</t>
  </si>
  <si>
    <t xml:space="preserve">PURPOSE</t>
  </si>
  <si>
    <t xml:space="preserve">This workbook is a demonstration economy model built for the Game Economy Designer application (Idle Bank Tycoon team, Kolibri Games). It tackles two sourced opportunities in the live game and shows the full economy-design workflow: a master-parameter model, source/sink balancing, ROI and monetisation math, KPI impact, and a safe A/B test plan. All live values flow from the Parameters tab. Change one blue cell and the whole model rebalances.</t>
  </si>
  <si>
    <t xml:space="preserve">HOW TO USE THIS MODEL</t>
  </si>
  <si>
    <t xml:space="preserve">1.</t>
  </si>
  <si>
    <t xml:space="preserve">Open the Parameters tab. Every BLUE cell is an input you can change. Everything else recalculates.</t>
  </si>
  <si>
    <t xml:space="preserve">2.</t>
  </si>
  <si>
    <t xml:space="preserve">Baseline Economy shows the core-loop income curve and the late-game 'cash surplus' problem the feature solves.</t>
  </si>
  <si>
    <t xml:space="preserve">3.</t>
  </si>
  <si>
    <t xml:space="preserve">Loan Desk (Option A) models a soft-currency sink that converts idle cash into a temporary income multiplier.</t>
  </si>
  <si>
    <t xml:space="preserve">4.</t>
  </si>
  <si>
    <t xml:space="preserve">Ad Tuning (Option B) sizes the rewarded-video reward and estimates the ad-revenue / ARPDAU impact.</t>
  </si>
  <si>
    <t xml:space="preserve">5.</t>
  </si>
  <si>
    <t xml:space="preserve">KPI Impact combines both levers into a retention + monetisation view, with a sensitivity table.</t>
  </si>
  <si>
    <t xml:space="preserve">COLOUR LEGEND</t>
  </si>
  <si>
    <t xml:space="preserve">Blue text</t>
  </si>
  <si>
    <t xml:space="preserve">Hardcoded input (change for scenarios)</t>
  </si>
  <si>
    <t xml:space="preserve">Black text</t>
  </si>
  <si>
    <t xml:space="preserve">Formula / calculation</t>
  </si>
  <si>
    <t xml:space="preserve">Green text</t>
  </si>
  <si>
    <t xml:space="preserve">Link to another tab</t>
  </si>
  <si>
    <t xml:space="preserve">Yellow fill</t>
  </si>
  <si>
    <t xml:space="preserve">Key assumption needing attention</t>
  </si>
  <si>
    <t xml:space="preserve">NOTE ON DATA: Kolibri does not publish per-level cost tables or live KPIs, so the core-loop numbers here are labelled ASSUMPTIONS, calibrated to public third-party estimates (AppQuantum/Sensor Tower, 2023) and standard idle-game math (Pecorella, GDC). The value of the model is the method and the reasoning. None of these are Kolibri's internal figures. See the Sources tab.</t>
  </si>
  <si>
    <t xml:space="preserve">PARAMETERS  ·  MASTER SOURCE OF TRUTH</t>
  </si>
  <si>
    <t xml:space="preserve">All BLUE cells are inputs. Every other tab links here. Change a value and the whole model re-balances.</t>
  </si>
  <si>
    <t xml:space="preserve">A.  CORE LOOP  (reconstructed baseline, illustrative)</t>
  </si>
  <si>
    <t xml:space="preserve">Parameter</t>
  </si>
  <si>
    <t xml:space="preserve">Value</t>
  </si>
  <si>
    <t xml:space="preserve">Unit</t>
  </si>
  <si>
    <t xml:space="preserve">Notes / rationale</t>
  </si>
  <si>
    <t xml:space="preserve">Starting income per second (Bank 1)</t>
  </si>
  <si>
    <t xml:space="preserve">$/sec</t>
  </si>
  <si>
    <t xml:space="preserve">Early-game cash/sec at first prestige. Calibrated to onboarding feel.</t>
  </si>
  <si>
    <t xml:space="preserve">Income growth per player level</t>
  </si>
  <si>
    <t xml:space="preserve">x / level</t>
  </si>
  <si>
    <t xml:space="preserve">Production multiplier per reputation level. Idle norm ~1.1–1.2x (Pecorella).</t>
  </si>
  <si>
    <t xml:space="preserve">Upgrade cost growth per level</t>
  </si>
  <si>
    <t xml:space="preserve">Exponential cost curve. Must exceed income growth so progress self-throttles.</t>
  </si>
  <si>
    <t xml:space="preserve">Base upgrade cost (Bank 1, level 1)</t>
  </si>
  <si>
    <t xml:space="preserve">$</t>
  </si>
  <si>
    <t xml:space="preserve">Anchor price for the first upgrade.</t>
  </si>
  <si>
    <t xml:space="preserve">Player levels modelled</t>
  </si>
  <si>
    <t xml:space="preserve">levels</t>
  </si>
  <si>
    <t xml:space="preserve">Horizon for the baseline curve (covers ~first several banks).</t>
  </si>
  <si>
    <t xml:space="preserve">Avg sessions per day</t>
  </si>
  <si>
    <t xml:space="preserve">sessions</t>
  </si>
  <si>
    <t xml:space="preserve">Casual idle norm (GameAnalytics 2024 ~4/day).</t>
  </si>
  <si>
    <t xml:space="preserve">Avg minutes per session</t>
  </si>
  <si>
    <t xml:space="preserve">min</t>
  </si>
  <si>
    <t xml:space="preserve">Casual median 5–6 min.</t>
  </si>
  <si>
    <t xml:space="preserve">Offline earnings cap</t>
  </si>
  <si>
    <t xml:space="preserve">hours</t>
  </si>
  <si>
    <t xml:space="preserve">IBT caps offline income at 12h (+30 min per manager).</t>
  </si>
  <si>
    <t xml:space="preserve">B.  PLAYER BASE &amp; SEGMENTATION</t>
  </si>
  <si>
    <t xml:space="preserve">Daily active users (DAU) modelled</t>
  </si>
  <si>
    <t xml:space="preserve">users</t>
  </si>
  <si>
    <t xml:space="preserve">Illustrative DAU for revenue scaling. Scale to taste.</t>
  </si>
  <si>
    <t xml:space="preserve">Payer conversion rate</t>
  </si>
  <si>
    <t xml:space="preserve">%</t>
  </si>
  <si>
    <t xml:space="preserve">Industry IAP conversion 1.83% (Unity 2024).</t>
  </si>
  <si>
    <t xml:space="preserve">Share of DAU who watch ads (opt-in)</t>
  </si>
  <si>
    <t xml:space="preserve">Ad-watcher share; idle audiences are highly ad-tolerant.</t>
  </si>
  <si>
    <t xml:space="preserve">Whale share of payers</t>
  </si>
  <si>
    <t xml:space="preserve">Top ~5% of players ≈ 48% of IAP revenue (Moloco 2025).</t>
  </si>
  <si>
    <t xml:space="preserve">C.  AD ECONOMICS  (Option B inputs)</t>
  </si>
  <si>
    <t xml:space="preserve">Rewarded video eCPM (blended)</t>
  </si>
  <si>
    <t xml:space="preserve">$ / 1000</t>
  </si>
  <si>
    <t xml:space="preserve">Rewarded eCPM; Tier-1 higher, blended global lower.</t>
  </si>
  <si>
    <t xml:space="preserve">Interstitial eCPM (blended)</t>
  </si>
  <si>
    <t xml:space="preserve">Interstitial blended eCPM.</t>
  </si>
  <si>
    <t xml:space="preserve">Current rewarded views per ad-watcher/day</t>
  </si>
  <si>
    <t xml:space="preserve">views</t>
  </si>
  <si>
    <t xml:space="preserve">Baseline opt-in views/day per ad-watcher.</t>
  </si>
  <si>
    <t xml:space="preserve">Tuned rewarded views per ad-watcher/day</t>
  </si>
  <si>
    <t xml:space="preserve">Target after better reward sizing + placement.</t>
  </si>
  <si>
    <t xml:space="preserve">Ad completion rate</t>
  </si>
  <si>
    <t xml:space="preserve">Rewarded completion 85–95% when reward feels meaningful.</t>
  </si>
  <si>
    <t xml:space="preserve">D.  LOAN DESK FEATURE  (Option A inputs)</t>
  </si>
  <si>
    <t xml:space="preserve">Loan principal as % of cash balance</t>
  </si>
  <si>
    <t xml:space="preserve">Max share of idle cash a player can lock into a loan.</t>
  </si>
  <si>
    <t xml:space="preserve">Loan term (real-time)</t>
  </si>
  <si>
    <t xml:space="preserve">How long cash is locked before repayment + reward.</t>
  </si>
  <si>
    <t xml:space="preserve">Income multiplier while loan active</t>
  </si>
  <si>
    <t xml:space="preserve">x</t>
  </si>
  <si>
    <t xml:space="preserve">Temporary boost to income/sec while the loan runs. The 'interest' the player earns.</t>
  </si>
  <si>
    <t xml:space="preserve">Interest repaid to player (soft)</t>
  </si>
  <si>
    <t xml:space="preserve">Bonus cash returned on top of principal at maturity.</t>
  </si>
  <si>
    <t xml:space="preserve">Early-repay fee (gold-currency sink)</t>
  </si>
  <si>
    <t xml:space="preserve">ingots</t>
  </si>
  <si>
    <t xml:space="preserve">Premium-currency cost to end a loan early. This is the hard-currency sink.</t>
  </si>
  <si>
    <t xml:space="preserve">Daily loan slots (free)</t>
  </si>
  <si>
    <t xml:space="preserve">slots</t>
  </si>
  <si>
    <t xml:space="preserve">Free concurrent/sequential loans per day.</t>
  </si>
  <si>
    <t xml:space="preserve">Extra loan slot price</t>
  </si>
  <si>
    <t xml:space="preserve">Hard-currency cost to unlock an extra daily slot.</t>
  </si>
  <si>
    <t xml:space="preserve">Loan-feature adoption (share of DAU)</t>
  </si>
  <si>
    <t xml:space="preserve">Expected share of active players who use loans.</t>
  </si>
  <si>
    <t xml:space="preserve">E.  MONETISATION VALUE ANCHORS</t>
  </si>
  <si>
    <t xml:space="preserve">Gold ingot retail value (USD)</t>
  </si>
  <si>
    <t xml:space="preserve">$ / ingot</t>
  </si>
  <si>
    <t xml:space="preserve">Implied $ per premium currency unit from IAP bundles.</t>
  </si>
  <si>
    <t xml:space="preserve">Baseline ARPDAU</t>
  </si>
  <si>
    <t xml:space="preserve">Current blended ARPDAU (ad+IAP), illustrative.</t>
  </si>
  <si>
    <t xml:space="preserve">BASELINE ECONOMY  ·  CORE LOOP &amp; THE CASH-SURPLUS PROBLEM</t>
  </si>
  <si>
    <t xml:space="preserve">Reconstructs the income vs. upgrade-cost curves and shows why late-game players accumulate cash with nothing to spend it on.</t>
  </si>
  <si>
    <t xml:space="preserve">Per-level progression (income vs. cost)</t>
  </si>
  <si>
    <t xml:space="preserve">Level</t>
  </si>
  <si>
    <t xml:space="preserve">Income/sec ($)</t>
  </si>
  <si>
    <t xml:space="preserve">Upgrade cost ($)</t>
  </si>
  <si>
    <t xml:space="preserve">Cumulative income/hr ($)</t>
  </si>
  <si>
    <t xml:space="preserve">Cost ÷ income-per-hr (hrs to afford)</t>
  </si>
  <si>
    <t xml:space="preserve">Cash buffer if no sink ($)</t>
  </si>
  <si>
    <t xml:space="preserve">Surplus ratio</t>
  </si>
  <si>
    <t xml:space="preserve">What the curve shows</t>
  </si>
  <si>
    <t xml:space="preserve">Early game</t>
  </si>
  <si>
    <t xml:space="preserve">Late game</t>
  </si>
  <si>
    <t xml:space="preserve">The problem</t>
  </si>
  <si>
    <t xml:space="preserve">"Cost growth (1.21x) outpaces income growth (1.18x), yet the 12h offline cap lets cash pile up between the few upgrades that matter, and there is no compelling SINK to absorb it. That idle surplus is unused economic value and a missed monetisation touchpoint."</t>
  </si>
  <si>
    <t xml:space="preserve">OPTION A  ·  THE LOAN DESK  (soft-currency sink)</t>
  </si>
  <si>
    <t xml:space="preserve">Converts idle cash into a temporary income multiplier. Adds a real sink, a hard-currency touchpoint, and an active decision to the idle loop.</t>
  </si>
  <si>
    <t xml:space="preserve">Concept</t>
  </si>
  <si>
    <t xml:space="preserve">Players lock a share of their idle cash into a fixed-term 'loan'. While the loan runs, income/sec is boosted (the player is 'earning interest'). At maturity the principal returns plus a small soft bonus. Players may pay GOLD INGOTS to end a loan early (hard-currency sink) or to unlock extra loan slots. This drains the surplus the Baseline tab exposed, creates a meaningful choice (how much to lock, how long), and opens a non-ad monetisation lever, without pay-to-win, since rewards are time-based, not power-based.</t>
  </si>
  <si>
    <t xml:space="preserve">Worked example: representative mid-game player</t>
  </si>
  <si>
    <t xml:space="preserve">Input / step</t>
  </si>
  <si>
    <t xml:space="preserve">Notes</t>
  </si>
  <si>
    <t xml:space="preserve">Player income/sec (illustrative, ~level 30)</t>
  </si>
  <si>
    <t xml:space="preserve">Linked from Baseline tab (level 30 row).</t>
  </si>
  <si>
    <t xml:space="preserve">Idle cash balance (12h offline buffer)</t>
  </si>
  <si>
    <t xml:space="preserve">The surplus cash available to lock.</t>
  </si>
  <si>
    <t xml:space="preserve">Loan principal locked</t>
  </si>
  <si>
    <t xml:space="preserve">Idle cash x loan principal %.</t>
  </si>
  <si>
    <t xml:space="preserve">Loan term</t>
  </si>
  <si>
    <t xml:space="preserve">Cash locked for this long.</t>
  </si>
  <si>
    <t xml:space="preserve">Boosted income/sec while loan active</t>
  </si>
  <si>
    <t xml:space="preserve">Income x multiplier during the term.</t>
  </si>
  <si>
    <t xml:space="preserve">Extra income earned over the term (vs. unboosted)</t>
  </si>
  <si>
    <t xml:space="preserve">The player's reward for committing cash.</t>
  </si>
  <si>
    <t xml:space="preserve">Soft interest bonus at maturity</t>
  </si>
  <si>
    <t xml:space="preserve">Small bonus on principal returned.</t>
  </si>
  <si>
    <t xml:space="preserve">Total player benefit per loan</t>
  </si>
  <si>
    <t xml:space="preserve">Boost income + interest bonus.</t>
  </si>
  <si>
    <t xml:space="preserve">Boost reward as % of what 4h of normal play earns</t>
  </si>
  <si>
    <t xml:space="preserve">Cleaner than a stock-vs-flow yield: the boost reward equals this share of normal 4h earnings. Must stay modest so loans complement (not replace) active upgrading.</t>
  </si>
  <si>
    <t xml:space="preserve">Hard-currency sink sizing (across the player base)</t>
  </si>
  <si>
    <t xml:space="preserve">Metric</t>
  </si>
  <si>
    <t xml:space="preserve">DAU using the Loan Desk</t>
  </si>
  <si>
    <t xml:space="preserve">DAU x loan adoption %.</t>
  </si>
  <si>
    <t xml:space="preserve">Share who buy an early-repay or extra slot</t>
  </si>
  <si>
    <t xml:space="preserve">Assumed % of loan-users spending ingots (input).</t>
  </si>
  <si>
    <t xml:space="preserve">Ingots spent per spender per day</t>
  </si>
  <si>
    <t xml:space="preserve">Avg ingot sink per spending user/day.</t>
  </si>
  <si>
    <t xml:space="preserve">Daily ingot sink (total)</t>
  </si>
  <si>
    <t xml:space="preserve">Total premium currency drained per day.</t>
  </si>
  <si>
    <t xml:space="preserve">Implied daily $ value of ingot sink</t>
  </si>
  <si>
    <t xml:space="preserve">Ingot sink x retail ingot value.</t>
  </si>
  <si>
    <t xml:space="preserve">Incremental ARPDAU from Loan Desk</t>
  </si>
  <si>
    <t xml:space="preserve">Daily ingot-sink value ÷ total DAU.</t>
  </si>
  <si>
    <t xml:space="preserve">Balance guardrails (anti-exploit / anti-inflation)</t>
  </si>
  <si>
    <t xml:space="preserve">•</t>
  </si>
  <si>
    <t xml:space="preserve">Principal capped at a % of CURRENT cash (Parameters D32), so it scales with the player and can't be gamed by hoarding.</t>
  </si>
  <si>
    <t xml:space="preserve">Reward is a TIME-BASED income boost, not raw power, so it preserves prestige math and avoids pay-to-win.</t>
  </si>
  <si>
    <t xml:space="preserve">Effective yield (C20) must stay BELOW what the same time spent actively upgrading would earn, or loans cannibalise core progression.</t>
  </si>
  <si>
    <t xml:space="preserve">Early-repay costs HARD currency, so the only way to 'rush' is a sink, never a faucet.</t>
  </si>
  <si>
    <t xml:space="preserve">Loan slots are limited (Parameters C37) so the feature can't dominate the session; extra slots are a paid sink.</t>
  </si>
  <si>
    <t xml:space="preserve">Soft interest (Parameters C35) kept low so the Loan Desk drains cash on net rather than printing it.</t>
  </si>
  <si>
    <t xml:space="preserve">OPTION B  ·  REWARDED-AD REWARD TUNING</t>
  </si>
  <si>
    <t xml:space="preserve">Sizes the rewarded-video reward and estimates the ad-revenue / ARPDAU impact. Ads, not whales, carry this game's monetisation.</t>
  </si>
  <si>
    <t xml:space="preserve">Why this matters here</t>
  </si>
  <si>
    <t xml:space="preserve">AppQuantum estimates US IAP revenue-per-download at only ~$0.6 and notes much of the revenue comes from advertising, with 51% of users under 25 (low spend power). So the highest-leverage monetisation work is rewarded-ad DESIGN: making the reward feel worth watching, then optimising views/day and placement, not chasing IAP whales.</t>
  </si>
  <si>
    <t xml:space="preserve">Reward sizing: scale the reward to the player's own income</t>
  </si>
  <si>
    <t xml:space="preserve">Step</t>
  </si>
  <si>
    <t xml:space="preserve">Linked from Baseline tab.</t>
  </si>
  <si>
    <t xml:space="preserve">Instant-reward = minutes of income granted</t>
  </si>
  <si>
    <t xml:space="preserve">Design lever: reward = N minutes of the player's own income (input).</t>
  </si>
  <si>
    <t xml:space="preserve">Instant-reward cash value</t>
  </si>
  <si>
    <t xml:space="preserve">Scales with player progress, so it stays meaningful all game.</t>
  </si>
  <si>
    <t xml:space="preserve">2x boost duration per ad</t>
  </si>
  <si>
    <t xml:space="preserve">Each ad doubles income for 2h, stackable to ~12h (input).</t>
  </si>
  <si>
    <t xml:space="preserve">Value of one 2x-boost ad</t>
  </si>
  <si>
    <t xml:space="preserve">Extra cash from doubling income for the boost window.</t>
  </si>
  <si>
    <t xml:space="preserve">Ad-revenue impact (across the player base)</t>
  </si>
  <si>
    <t xml:space="preserve">Baseline</t>
  </si>
  <si>
    <t xml:space="preserve">Tuned</t>
  </si>
  <si>
    <t xml:space="preserve">Ad-watching DAU</t>
  </si>
  <si>
    <t xml:space="preserve">DAU x ad-watcher share (same population).</t>
  </si>
  <si>
    <t xml:space="preserve">Rewarded views per watcher/day</t>
  </si>
  <si>
    <t xml:space="preserve">Baseline vs. tuned views/day (Parameters C26/C27).</t>
  </si>
  <si>
    <t xml:space="preserve">Completed views per watcher/day</t>
  </si>
  <si>
    <t xml:space="preserve">x completion rate.</t>
  </si>
  <si>
    <t xml:space="preserve">Total completed rewarded views/day</t>
  </si>
  <si>
    <t xml:space="preserve">Watchers x completed views.</t>
  </si>
  <si>
    <t xml:space="preserve">Daily rewarded ad revenue</t>
  </si>
  <si>
    <t xml:space="preserve">Views x eCPM / 1000.</t>
  </si>
  <si>
    <t xml:space="preserve">Incremental rewarded ARPDAU</t>
  </si>
  <si>
    <t xml:space="preserve">Daily ad revenue ÷ total DAU.</t>
  </si>
  <si>
    <t xml:space="preserve">Revenue uplift from tuning</t>
  </si>
  <si>
    <t xml:space="preserve">Placement principle (free uplift, no extra ads)</t>
  </si>
  <si>
    <t xml:space="preserve">Sequence matters as much as frequency: industry tests show showing an interstitial AFTER a rewarded-video offer lifts ad ARPDAU ~+23% with no added frustration. Recommendation: keep rewarded ads opt-in and value-scaled (above), and A/B test interstitial sequencing at natural breakpoints (post-prestige, post-loan-maturity) rather than raising raw ad frequency.</t>
  </si>
  <si>
    <t xml:space="preserve">KPI IMPACT  ·  COMBINED LEVERS &amp; SENSITIVITY</t>
  </si>
  <si>
    <t xml:space="preserve">Brings both features together into a monetisation view, with a sensitivity table and the A/B test plan.</t>
  </si>
  <si>
    <t xml:space="preserve">Combined incremental ARPDAU</t>
  </si>
  <si>
    <t xml:space="preserve">Lever</t>
  </si>
  <si>
    <t xml:space="preserve">Incr. ARPDAU</t>
  </si>
  <si>
    <t xml:space="preserve">Source</t>
  </si>
  <si>
    <t xml:space="preserve">Parameters C44 (current blended).</t>
  </si>
  <si>
    <t xml:space="preserve">+ Loan Desk (Option A)</t>
  </si>
  <si>
    <t xml:space="preserve">Hard-currency sink value ÷ DAU.</t>
  </si>
  <si>
    <t xml:space="preserve">+ Ad tuning uplift (Option B)</t>
  </si>
  <si>
    <t xml:space="preserve">Tuned minus baseline rewarded ARPDAU.</t>
  </si>
  <si>
    <t xml:space="preserve">Projected new ARPDAU</t>
  </si>
  <si>
    <t xml:space="preserve">Incremental daily revenue (all DAU)</t>
  </si>
  <si>
    <t xml:space="preserve">Combined incremental ARPDAU x DAU.</t>
  </si>
  <si>
    <t xml:space="preserve">Incremental annual revenue (static DAU)</t>
  </si>
  <si>
    <t xml:space="preserve">x 365 (illustrative, no growth).</t>
  </si>
  <si>
    <t xml:space="preserve">Sensitivity: Loan Desk daily $ sink. Adoption (rows) x ingot-spender share (cols)</t>
  </si>
  <si>
    <t xml:space="preserve">Adoption \ Spender%</t>
  </si>
  <si>
    <t xml:space="preserve">DAU anchor (from Parameters)</t>
  </si>
  <si>
    <t xml:space="preserve">Green cell = base-case assumption. Grid recalculates live from the Parameters tab (early-repay fee &amp; ingot value).</t>
  </si>
  <si>
    <t xml:space="preserve">A/B test &amp; rollout plan</t>
  </si>
  <si>
    <t xml:space="preserve">Hypothesis A (Loan Desk)</t>
  </si>
  <si>
    <t xml:space="preserve">Adding a soft-currency sink lifts D7 retention (more to do late-game) and ARPDAU (ingot sink) without hurting D1.</t>
  </si>
  <si>
    <t xml:space="preserve">Hypothesis B (Ad tuning)</t>
  </si>
  <si>
    <t xml:space="preserve">Scaling rewarded rewards to player income + resequencing interstitials lifts ad ARPDAU with neutral or positive retention.</t>
  </si>
  <si>
    <t xml:space="preserve">Design</t>
  </si>
  <si>
    <t xml:space="preserve">Assign at install (new players only). Split by platform (iOS vs Android behave differently). 4–5 variants of reward size / loan multiplier, not just on/off.</t>
  </si>
  <si>
    <t xml:space="preserve">Primary KPIs</t>
  </si>
  <si>
    <t xml:space="preserve">Evaluate retention (D1/D7) AND ARPU together; define the lever metric (loan adoption %, views/day). Require &gt;=3% ARPDAU move before shipping.</t>
  </si>
  <si>
    <t xml:space="preserve">Guardrails</t>
  </si>
  <si>
    <t xml:space="preserve">Run the full 14-day retention window; never stack two tests on the same system; watch for currency inflation (cash balance distribution) and loan-yield cannibalising core upgrades.</t>
  </si>
  <si>
    <t xml:space="preserve">Ship / iterate / kill</t>
  </si>
  <si>
    <t xml:space="preserve">Ship if D7 up or flat AND ARPDAU +&gt;=3%. Iterate if mixed. Kill if D1 drops or cash-sink causes progression complaints.</t>
  </si>
  <si>
    <t xml:space="preserve">SOURCES &amp; ASSUMPTIONS</t>
  </si>
  <si>
    <t xml:space="preserve">What is sourced versus assumed. The model's value is the method; the numbers are adjustable.</t>
  </si>
  <si>
    <t xml:space="preserve">Key external data points (directional, third-party)</t>
  </si>
  <si>
    <t xml:space="preserve">Data point</t>
  </si>
  <si>
    <t xml:space="preserve">IBT revenue &gt; $3.62M; &gt; Idle Firefighter ($3.13M)</t>
  </si>
  <si>
    <t xml:space="preserve">AppQuantum deconstruction, Nov 2023 (Sensor Tower data)</t>
  </si>
  <si>
    <t xml:space="preserve">US IAP revenue-per-download ~ $0.6; ad-led monetisation</t>
  </si>
  <si>
    <t xml:space="preserve">AppQuantum, Nov 2023</t>
  </si>
  <si>
    <t xml:space="preserve">51% of users male, under 25; D1 ~48%</t>
  </si>
  <si>
    <t xml:space="preserve">4th in niche downloads (Jul–Aug 2023), behind My Perfect Hotel</t>
  </si>
  <si>
    <t xml:space="preserve">Industry IAP conversion 1.83%</t>
  </si>
  <si>
    <t xml:space="preserve">Unity Mobile Growth &amp; Monetisation Report 2024</t>
  </si>
  <si>
    <t xml:space="preserve">Top 5% of players ≈ 48% of IAP revenue</t>
  </si>
  <si>
    <t xml:space="preserve">Moloco State of Mobile Gaming 2025</t>
  </si>
  <si>
    <t xml:space="preserve">Idle games ~73 rewarded videos per user (high tolerance)</t>
  </si>
  <si>
    <t xml:space="preserve">Appodeal Mobile Casual Benchmarks 2025</t>
  </si>
  <si>
    <t xml:space="preserve">Interstitial-after-rewarded lifts ad ARPDAU ~+23%</t>
  </si>
  <si>
    <t xml:space="preserve">Industry A/B test results (placement studies)</t>
  </si>
  <si>
    <t xml:space="preserve">Casual ~4 sessions/day, 5–6 min median, D1/D7 norms</t>
  </si>
  <si>
    <t xml:space="preserve">GameAnalytics Mobile Benchmarks 2024</t>
  </si>
  <si>
    <t xml:space="preserve">Idle math: cost exponential, prod linear, prestige sqrt</t>
  </si>
  <si>
    <t xml:space="preserve">A. Pecorella, 'The Math of Idle Games', GDC / Game Developer</t>
  </si>
  <si>
    <t xml:space="preserve">Currency stability / price rationality / proper allocation</t>
  </si>
  <si>
    <t xml:space="preserve">Machinations Manifesto (w/ E. Castronova), GDC 2023</t>
  </si>
  <si>
    <t xml:space="preserve">IBT mechanics: departments, managers, prestige, offline cap</t>
  </si>
  <si>
    <t xml:space="preserve">Kolibri Games Help Center; Level Winner &amp; GamingonPhone guides</t>
  </si>
  <si>
    <t xml:space="preserve">Modelling assumptions (clearly NOT Kolibri's internal data)</t>
  </si>
  <si>
    <t xml:space="preserve">Assumption</t>
  </si>
  <si>
    <t xml:space="preserve">Why this value / how to refine</t>
  </si>
  <si>
    <t xml:space="preserve">Income growth 1.18x, cost growth 1.21x per level</t>
  </si>
  <si>
    <t xml:space="preserve">Idle norm (Pecorella). Cost&gt;income so progress self-throttles. Refine via APK data-mine or in-game logging.</t>
  </si>
  <si>
    <t xml:space="preserve">Base income 50/sec, base cost $100</t>
  </si>
  <si>
    <t xml:space="preserve">Anchors for early-game feel; tune to actual onboarding telemetry.</t>
  </si>
  <si>
    <t xml:space="preserve">DAU 200,000</t>
  </si>
  <si>
    <t xml:space="preserve">Illustrative scaling figure; replace with real DAU.</t>
  </si>
  <si>
    <t xml:space="preserve">Loan principal 40% of cash, 4h term, 1.5x boost</t>
  </si>
  <si>
    <t xml:space="preserve">Tuned so yield stays below active-upgrade returns (anti-cannibalisation). A/B test the real values.</t>
  </si>
  <si>
    <t xml:space="preserve">Loan adoption 45%; 8% of users buy a sink</t>
  </si>
  <si>
    <t xml:space="preserve">Mid-range engagement-feature assumptions; validate live.</t>
  </si>
  <si>
    <t xml:space="preserve">Rewarded eCPM $15; views 6 -&gt; 8.5/day after tuning</t>
  </si>
  <si>
    <t xml:space="preserve">Blended eCPM; uplift from reward sizing + placement, not more ads.</t>
  </si>
  <si>
    <t xml:space="preserve">Ingot retail value $0.01</t>
  </si>
  <si>
    <t xml:space="preserve">Back-solved from typical IAP bundle pricing; set from real store data.</t>
  </si>
  <si>
    <t xml:space="preserve">Every number here lives on the Parameters tab and is labelled as an assumption. Swapping in Kolibri's real telemetry would make the model production-grade without changing its structure.</t>
  </si>
</sst>
</file>

<file path=xl/styles.xml><?xml version="1.0" encoding="utf-8"?>
<styleSheet xmlns="http://schemas.openxmlformats.org/spreadsheetml/2006/main">
  <numFmts count="11">
    <numFmt numFmtId="164" formatCode="General"/>
    <numFmt numFmtId="165" formatCode="#,##0;\(#,##0\);\-"/>
    <numFmt numFmtId="166" formatCode="0.00\x"/>
    <numFmt numFmtId="167" formatCode="0"/>
    <numFmt numFmtId="168" formatCode="#,##0.0;\(#,##0.0\);\-"/>
    <numFmt numFmtId="169" formatCode="0.0%;\(0.0%\);\-"/>
    <numFmt numFmtId="170" formatCode="\$#,##0.00;&quot;($&quot;#,##0.00\);\-"/>
    <numFmt numFmtId="171" formatCode="\$#,##0.0000;&quot;($&quot;#,##0.0000\);\-"/>
    <numFmt numFmtId="172" formatCode="#,##0.00;\(#,##0.00\);\-"/>
    <numFmt numFmtId="173" formatCode="0.0%;\(0.0%\);\-"/>
    <numFmt numFmtId="174" formatCode="\$#,##0;&quot;($&quot;#,##0\);\-"/>
  </numFmts>
  <fonts count="30">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1"/>
      <color rgb="FF404040"/>
      <name val="Arial"/>
      <family val="0"/>
      <charset val="1"/>
    </font>
    <font>
      <b val="true"/>
      <sz val="12"/>
      <color rgb="FFFFFFFF"/>
      <name val="Arial"/>
      <family val="0"/>
      <charset val="1"/>
    </font>
    <font>
      <sz val="10"/>
      <color rgb="FF000000"/>
      <name val="Arial"/>
      <family val="0"/>
      <charset val="1"/>
    </font>
    <font>
      <b val="true"/>
      <sz val="10"/>
      <color rgb="FF2E5496"/>
      <name val="Arial"/>
      <family val="0"/>
      <charset val="1"/>
    </font>
    <font>
      <b val="true"/>
      <sz val="10"/>
      <color rgb="FF0000FF"/>
      <name val="Arial"/>
      <family val="0"/>
      <charset val="1"/>
    </font>
    <font>
      <b val="true"/>
      <sz val="10"/>
      <color rgb="FF000000"/>
      <name val="Arial"/>
      <family val="0"/>
      <charset val="1"/>
    </font>
    <font>
      <b val="true"/>
      <sz val="10"/>
      <color rgb="FF008000"/>
      <name val="Arial"/>
      <family val="0"/>
      <charset val="1"/>
    </font>
    <font>
      <i val="true"/>
      <sz val="9"/>
      <color rgb="FF7F7F7F"/>
      <name val="Arial"/>
      <family val="0"/>
      <charset val="1"/>
    </font>
    <font>
      <b val="true"/>
      <sz val="15"/>
      <color rgb="FFFFFFFF"/>
      <name val="Arial"/>
      <family val="0"/>
      <charset val="1"/>
    </font>
    <font>
      <i val="true"/>
      <sz val="9"/>
      <color rgb="FF595959"/>
      <name val="Arial"/>
      <family val="0"/>
      <charset val="1"/>
    </font>
    <font>
      <b val="true"/>
      <sz val="11"/>
      <color rgb="FFFFFFFF"/>
      <name val="Arial"/>
      <family val="0"/>
      <charset val="1"/>
    </font>
    <font>
      <b val="true"/>
      <sz val="10"/>
      <color rgb="FFFFFFFF"/>
      <name val="Arial"/>
      <family val="0"/>
      <charset val="1"/>
    </font>
    <font>
      <sz val="10"/>
      <color rgb="FF0000FF"/>
      <name val="Arial"/>
      <family val="0"/>
      <charset val="1"/>
    </font>
    <font>
      <sz val="9"/>
      <color rgb="FF595959"/>
      <name val="Arial"/>
      <family val="0"/>
      <charset val="1"/>
    </font>
    <font>
      <b val="true"/>
      <sz val="9"/>
      <color rgb="FFFFFFFF"/>
      <name val="Arial"/>
      <family val="0"/>
      <charset val="1"/>
    </font>
    <font>
      <sz val="9"/>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8000"/>
      <name val="Arial"/>
      <family val="0"/>
      <charset val="1"/>
    </font>
    <font>
      <b val="true"/>
      <sz val="10"/>
      <color rgb="FF548235"/>
      <name val="Arial"/>
      <family val="0"/>
      <charset val="1"/>
    </font>
    <font>
      <sz val="10"/>
      <color rgb="FF548235"/>
      <name val="Arial"/>
      <family val="0"/>
      <charset val="1"/>
    </font>
    <font>
      <b val="true"/>
      <sz val="9"/>
      <color rgb="FF000000"/>
      <name val="Arial"/>
      <family val="0"/>
      <charset val="1"/>
    </font>
    <font>
      <i val="true"/>
      <sz val="9"/>
      <color rgb="FF008000"/>
      <name val="Arial"/>
      <family val="0"/>
      <charset val="1"/>
    </font>
    <font>
      <b val="true"/>
      <sz val="10"/>
      <color rgb="FF7030A0"/>
      <name val="Arial"/>
      <family val="0"/>
      <charset val="1"/>
    </font>
  </fonts>
  <fills count="10">
    <fill>
      <patternFill patternType="none"/>
    </fill>
    <fill>
      <patternFill patternType="gray125"/>
    </fill>
    <fill>
      <patternFill patternType="solid">
        <fgColor rgb="FF1F3864"/>
        <bgColor rgb="FF404040"/>
      </patternFill>
    </fill>
    <fill>
      <patternFill patternType="solid">
        <fgColor rgb="FF2E5496"/>
        <bgColor rgb="FF1F3864"/>
      </patternFill>
    </fill>
    <fill>
      <patternFill patternType="solid">
        <fgColor rgb="FFFFFF00"/>
        <bgColor rgb="FFFFFF00"/>
      </patternFill>
    </fill>
    <fill>
      <patternFill patternType="solid">
        <fgColor rgb="FF548235"/>
        <bgColor rgb="FF595959"/>
      </patternFill>
    </fill>
    <fill>
      <patternFill patternType="solid">
        <fgColor rgb="FFBF8F00"/>
        <bgColor rgb="FFFF6600"/>
      </patternFill>
    </fill>
    <fill>
      <patternFill patternType="solid">
        <fgColor rgb="FF7030A0"/>
        <bgColor rgb="FF800080"/>
      </patternFill>
    </fill>
    <fill>
      <patternFill patternType="solid">
        <fgColor rgb="FFC6EFCE"/>
        <bgColor rgb="FFD9D9D9"/>
      </patternFill>
    </fill>
    <fill>
      <patternFill patternType="solid">
        <fgColor rgb="FFC00000"/>
        <bgColor rgb="FF8000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0" fillId="4"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3" fillId="2"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15" fillId="3" borderId="0" xfId="0" applyFont="true" applyBorder="true" applyAlignment="true" applyProtection="false">
      <alignment horizontal="left" vertical="center" textRotation="0" wrapText="false" indent="0" shrinkToFit="false"/>
      <protection locked="true" hidden="false"/>
    </xf>
    <xf numFmtId="164" fontId="16" fillId="3" borderId="1" xfId="0" applyFont="true" applyBorder="true" applyAlignment="true" applyProtection="false">
      <alignment horizontal="general"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17"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6" fontId="17" fillId="0" borderId="1" xfId="0" applyFont="true" applyBorder="true" applyAlignment="true" applyProtection="false">
      <alignment horizontal="center" vertical="center" textRotation="0" wrapText="false" indent="0" shrinkToFit="false"/>
      <protection locked="true" hidden="false"/>
    </xf>
    <xf numFmtId="166" fontId="17" fillId="4" borderId="1" xfId="0" applyFont="true" applyBorder="true" applyAlignment="true" applyProtection="false">
      <alignment horizontal="center" vertical="center" textRotation="0" wrapText="false" indent="0" shrinkToFit="false"/>
      <protection locked="true" hidden="false"/>
    </xf>
    <xf numFmtId="167" fontId="17" fillId="0" borderId="1" xfId="0" applyFont="true" applyBorder="true" applyAlignment="true" applyProtection="false">
      <alignment horizontal="center" vertical="center" textRotation="0" wrapText="false" indent="0" shrinkToFit="false"/>
      <protection locked="true" hidden="false"/>
    </xf>
    <xf numFmtId="168" fontId="17" fillId="0" borderId="1" xfId="0" applyFont="true" applyBorder="true" applyAlignment="true" applyProtection="false">
      <alignment horizontal="center" vertical="center" textRotation="0" wrapText="false" indent="0" shrinkToFit="false"/>
      <protection locked="true" hidden="false"/>
    </xf>
    <xf numFmtId="165" fontId="17" fillId="4" borderId="1" xfId="0" applyFont="true" applyBorder="true" applyAlignment="true" applyProtection="false">
      <alignment horizontal="center" vertical="center" textRotation="0" wrapText="false" indent="0" shrinkToFit="false"/>
      <protection locked="true" hidden="false"/>
    </xf>
    <xf numFmtId="169" fontId="17" fillId="0" borderId="1" xfId="0" applyFont="true" applyBorder="true" applyAlignment="true" applyProtection="false">
      <alignment horizontal="center" vertical="center" textRotation="0" wrapText="false" indent="0" shrinkToFit="false"/>
      <protection locked="true" hidden="false"/>
    </xf>
    <xf numFmtId="170" fontId="17" fillId="4" borderId="1" xfId="0" applyFont="true" applyBorder="true" applyAlignment="true" applyProtection="false">
      <alignment horizontal="center" vertical="center" textRotation="0" wrapText="false" indent="0" shrinkToFit="false"/>
      <protection locked="true" hidden="false"/>
    </xf>
    <xf numFmtId="170" fontId="17" fillId="0" borderId="1" xfId="0" applyFont="true" applyBorder="true" applyAlignment="true" applyProtection="false">
      <alignment horizontal="center" vertical="center" textRotation="0" wrapText="false" indent="0" shrinkToFit="false"/>
      <protection locked="true" hidden="false"/>
    </xf>
    <xf numFmtId="169" fontId="17" fillId="4" borderId="1" xfId="0" applyFont="true" applyBorder="true" applyAlignment="true" applyProtection="false">
      <alignment horizontal="center" vertical="center" textRotation="0" wrapText="false" indent="0" shrinkToFit="false"/>
      <protection locked="true" hidden="false"/>
    </xf>
    <xf numFmtId="171" fontId="17" fillId="4" borderId="1" xfId="0" applyFont="true" applyBorder="true" applyAlignment="true" applyProtection="false">
      <alignment horizontal="center" vertical="center" textRotation="0" wrapText="false" indent="0" shrinkToFit="false"/>
      <protection locked="true" hidden="false"/>
    </xf>
    <xf numFmtId="164" fontId="19" fillId="3" borderId="1" xfId="0" applyFont="true" applyBorder="true" applyAlignment="true" applyProtection="false">
      <alignment horizontal="center" vertical="center" textRotation="0" wrapText="true" indent="0" shrinkToFit="false"/>
      <protection locked="true" hidden="false"/>
    </xf>
    <xf numFmtId="167" fontId="20" fillId="0" borderId="1" xfId="0" applyFont="true" applyBorder="true" applyAlignment="true" applyProtection="false">
      <alignment horizontal="center" vertical="center" textRotation="0" wrapText="fals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72" fontId="20" fillId="0" borderId="1" xfId="0" applyFont="true" applyBorder="true" applyAlignment="true" applyProtection="false">
      <alignment horizontal="center" vertical="center" textRotation="0" wrapText="false" indent="0" shrinkToFit="false"/>
      <protection locked="true" hidden="false"/>
    </xf>
    <xf numFmtId="166" fontId="20"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16" fillId="5" borderId="1" xfId="0" applyFont="true" applyBorder="true" applyAlignment="true" applyProtection="false">
      <alignment horizontal="general" vertical="center" textRotation="0" wrapText="false" indent="0"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5" fontId="24"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8" fontId="24" fillId="0" borderId="1" xfId="0" applyFont="true" applyBorder="true" applyAlignment="true" applyProtection="false">
      <alignment horizontal="center" vertical="center" textRotation="0" wrapText="false" indent="0" shrinkToFit="false"/>
      <protection locked="true" hidden="false"/>
    </xf>
    <xf numFmtId="173" fontId="7" fillId="0" borderId="1" xfId="0" applyFont="true" applyBorder="true" applyAlignment="true" applyProtection="false">
      <alignment horizontal="center" vertical="center" textRotation="0" wrapText="false" indent="0" shrinkToFit="false"/>
      <protection locked="true" hidden="false"/>
    </xf>
    <xf numFmtId="169" fontId="17" fillId="0" borderId="1" xfId="0" applyFont="true" applyBorder="true" applyAlignment="true" applyProtection="false">
      <alignment horizontal="general" vertical="center" textRotation="0" wrapText="false" indent="0" shrinkToFit="false"/>
      <protection locked="true" hidden="false"/>
    </xf>
    <xf numFmtId="167" fontId="24" fillId="0" borderId="1" xfId="0" applyFont="true" applyBorder="true" applyAlignment="true" applyProtection="false">
      <alignment horizontal="center" vertical="center" textRotation="0" wrapText="false" indent="0" shrinkToFit="false"/>
      <protection locked="true" hidden="false"/>
    </xf>
    <xf numFmtId="174" fontId="7" fillId="0"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true" applyAlignment="true" applyProtection="false">
      <alignment horizontal="left" vertical="center" textRotation="0" wrapText="true" indent="0" shrinkToFit="false"/>
      <protection locked="true" hidden="false"/>
    </xf>
    <xf numFmtId="164" fontId="16" fillId="6" borderId="1" xfId="0" applyFont="true" applyBorder="true" applyAlignment="true" applyProtection="false">
      <alignment horizontal="general"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false" indent="0" shrinkToFit="false"/>
      <protection locked="true" hidden="false"/>
    </xf>
    <xf numFmtId="164" fontId="16" fillId="6" borderId="2" xfId="0" applyFont="true" applyBorder="true" applyAlignment="true" applyProtection="false">
      <alignment horizontal="general" vertical="center" textRotation="0" wrapText="false" indent="0" shrinkToFit="false"/>
      <protection locked="true" hidden="false"/>
    </xf>
    <xf numFmtId="164" fontId="18" fillId="0" borderId="2" xfId="0" applyFont="true" applyBorder="true" applyAlignment="true" applyProtection="false">
      <alignment horizontal="left" vertical="center" textRotation="0" wrapText="tru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general" vertical="center" textRotation="0" wrapText="false" indent="0" shrinkToFit="false"/>
      <protection locked="true" hidden="false"/>
    </xf>
    <xf numFmtId="174" fontId="15" fillId="5" borderId="2" xfId="0" applyFont="true" applyBorder="true" applyAlignment="true" applyProtection="false">
      <alignment horizontal="center" vertical="center" textRotation="0" wrapText="false" indent="0" shrinkToFit="false"/>
      <protection locked="true" hidden="false"/>
    </xf>
    <xf numFmtId="164" fontId="26" fillId="0" borderId="2" xfId="0" applyFont="true" applyBorder="true" applyAlignment="true" applyProtection="false">
      <alignment horizontal="left" vertical="center" textRotation="0" wrapText="true" indent="0" shrinkToFit="false"/>
      <protection locked="true" hidden="false"/>
    </xf>
    <xf numFmtId="164" fontId="16" fillId="7" borderId="1" xfId="0" applyFont="true" applyBorder="true" applyAlignment="true" applyProtection="false">
      <alignment horizontal="general" vertical="center" textRotation="0" wrapText="false" indent="0" shrinkToFit="false"/>
      <protection locked="true" hidden="false"/>
    </xf>
    <xf numFmtId="164" fontId="16" fillId="7" borderId="1" xfId="0" applyFont="true" applyBorder="true" applyAlignment="true" applyProtection="false">
      <alignment horizontal="center" vertical="center" textRotation="0" wrapText="false" indent="0" shrinkToFit="false"/>
      <protection locked="true" hidden="false"/>
    </xf>
    <xf numFmtId="164" fontId="16" fillId="7" borderId="2" xfId="0" applyFont="true" applyBorder="true" applyAlignment="true" applyProtection="false">
      <alignment horizontal="general" vertical="center" textRotation="0" wrapText="false" indent="0" shrinkToFit="false"/>
      <protection locked="true" hidden="false"/>
    </xf>
    <xf numFmtId="170" fontId="24" fillId="0" borderId="1" xfId="0" applyFont="true" applyBorder="true" applyAlignment="true" applyProtection="false">
      <alignment horizontal="center" vertical="center" textRotation="0" wrapText="false" indent="0" shrinkToFit="false"/>
      <protection locked="true" hidden="false"/>
    </xf>
    <xf numFmtId="171" fontId="24" fillId="0"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general" vertical="center" textRotation="0" wrapText="false" indent="0" shrinkToFit="false"/>
      <protection locked="true" hidden="false"/>
    </xf>
    <xf numFmtId="171" fontId="7" fillId="2" borderId="1" xfId="0" applyFont="true" applyBorder="true" applyAlignment="true" applyProtection="false">
      <alignment horizontal="general" vertical="center" textRotation="0" wrapText="false" indent="0" shrinkToFit="false"/>
      <protection locked="true" hidden="false"/>
    </xf>
    <xf numFmtId="164" fontId="16" fillId="2" borderId="2" xfId="0" applyFont="true" applyBorder="true" applyAlignment="true" applyProtection="false">
      <alignment horizontal="left" vertical="center" textRotation="0" wrapText="false" indent="0" shrinkToFit="false"/>
      <protection locked="true" hidden="false"/>
    </xf>
    <xf numFmtId="164" fontId="19" fillId="7" borderId="1" xfId="0" applyFont="true" applyBorder="true" applyAlignment="true" applyProtection="false">
      <alignment horizontal="center" vertical="center" textRotation="0" wrapText="false" indent="0" shrinkToFit="false"/>
      <protection locked="true" hidden="false"/>
    </xf>
    <xf numFmtId="169" fontId="19" fillId="7" borderId="1" xfId="0" applyFont="true" applyBorder="true" applyAlignment="true" applyProtection="false">
      <alignment horizontal="center" vertical="center" textRotation="0" wrapText="false" indent="0" shrinkToFit="false"/>
      <protection locked="true" hidden="false"/>
    </xf>
    <xf numFmtId="169" fontId="19" fillId="3" borderId="1" xfId="0" applyFont="true" applyBorder="true" applyAlignment="true" applyProtection="false">
      <alignment horizontal="center" vertical="center" textRotation="0" wrapText="false" indent="0" shrinkToFit="false"/>
      <protection locked="true" hidden="false"/>
    </xf>
    <xf numFmtId="174" fontId="20" fillId="0" borderId="1" xfId="0" applyFont="true" applyBorder="true" applyAlignment="true" applyProtection="false">
      <alignment horizontal="center" vertical="center" textRotation="0" wrapText="false" indent="0" shrinkToFit="false"/>
      <protection locked="true" hidden="false"/>
    </xf>
    <xf numFmtId="174" fontId="27" fillId="8"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5" fontId="28"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29" fillId="0" borderId="1" xfId="0" applyFont="true" applyBorder="true" applyAlignment="true" applyProtection="false">
      <alignment horizontal="left" vertical="top" textRotation="0" wrapText="false" indent="0" shrinkToFit="false"/>
      <protection locked="true" hidden="false"/>
    </xf>
    <xf numFmtId="164" fontId="20" fillId="0" borderId="2"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4" fontId="16" fillId="9" borderId="1"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4A7EBB"/>
      <rgbColor rgb="FF33CCCC"/>
      <rgbColor rgb="FF99CC00"/>
      <rgbColor rgb="FFFFCC00"/>
      <rgbColor rgb="FFBF8F00"/>
      <rgbColor rgb="FFFF6600"/>
      <rgbColor rgb="FF595959"/>
      <rgbColor rgb="FF878787"/>
      <rgbColor rgb="FF1F3864"/>
      <rgbColor rgb="FF7F7F7F"/>
      <rgbColor rgb="FF003300"/>
      <rgbColor rgb="FF333300"/>
      <rgbColor rgb="FF993300"/>
      <rgbColor rgb="FF7030A0"/>
      <rgbColor rgb="FF2E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Income/sec vs. Upgrade Cost (log scale)</a:t>
            </a:r>
          </a:p>
        </c:rich>
      </c:tx>
      <c:overlay val="0"/>
      <c:spPr>
        <a:noFill/>
        <a:ln w="0">
          <a:noFill/>
        </a:ln>
      </c:spPr>
    </c:title>
    <c:autoTitleDeleted val="0"/>
    <c:plotArea>
      <c:lineChart>
        <c:grouping val="standard"/>
        <c:varyColors val="0"/>
        <c:ser>
          <c:idx val="0"/>
          <c:order val="0"/>
          <c:tx>
            <c:strRef>
              <c:f>'Baseline Economy'!C5</c:f>
              <c:strCache>
                <c:ptCount val="1"/>
                <c:pt idx="0">
                  <c:v>Income/sec ($)</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'Baseline Economy'!$B$6:$B$65</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'Baseline Economy'!$C$6:$C$65</c:f>
              <c:numCache>
                <c:formatCode>#,##0;\(#,##0\);\-</c:formatCode>
                <c:ptCount val="60"/>
                <c:pt idx="0">
                  <c:v>50</c:v>
                </c:pt>
                <c:pt idx="1">
                  <c:v>59</c:v>
                </c:pt>
                <c:pt idx="2">
                  <c:v>69.62</c:v>
                </c:pt>
                <c:pt idx="3">
                  <c:v>82.1516</c:v>
                </c:pt>
                <c:pt idx="4">
                  <c:v>96.938888</c:v>
                </c:pt>
                <c:pt idx="5">
                  <c:v>114.38788784</c:v>
                </c:pt>
                <c:pt idx="6">
                  <c:v>134.9777076512</c:v>
                </c:pt>
                <c:pt idx="7">
                  <c:v>159.273695028416</c:v>
                </c:pt>
                <c:pt idx="8">
                  <c:v>187.942960133531</c:v>
                </c:pt>
                <c:pt idx="9">
                  <c:v>221.772692957566</c:v>
                </c:pt>
                <c:pt idx="10">
                  <c:v>261.691777689928</c:v>
                </c:pt>
                <c:pt idx="11">
                  <c:v>308.796297674115</c:v>
                </c:pt>
                <c:pt idx="12">
                  <c:v>364.379631255456</c:v>
                </c:pt>
                <c:pt idx="13">
                  <c:v>429.967964881438</c:v>
                </c:pt>
                <c:pt idx="14">
                  <c:v>507.362198560097</c:v>
                </c:pt>
                <c:pt idx="15">
                  <c:v>598.687394300914</c:v>
                </c:pt>
                <c:pt idx="16">
                  <c:v>706.451125275079</c:v>
                </c:pt>
                <c:pt idx="17">
                  <c:v>833.612327824593</c:v>
                </c:pt>
                <c:pt idx="18">
                  <c:v>983.66254683302</c:v>
                </c:pt>
                <c:pt idx="19">
                  <c:v>1160.72180526296</c:v>
                </c:pt>
                <c:pt idx="20">
                  <c:v>1369.6517302103</c:v>
                </c:pt>
                <c:pt idx="21">
                  <c:v>1616.18904164815</c:v>
                </c:pt>
                <c:pt idx="22">
                  <c:v>1907.10306914482</c:v>
                </c:pt>
                <c:pt idx="23">
                  <c:v>2250.38162159088</c:v>
                </c:pt>
                <c:pt idx="24">
                  <c:v>2655.45031347724</c:v>
                </c:pt>
                <c:pt idx="25">
                  <c:v>3133.43136990315</c:v>
                </c:pt>
                <c:pt idx="26">
                  <c:v>3697.44901648571</c:v>
                </c:pt>
                <c:pt idx="27">
                  <c:v>4362.98983945314</c:v>
                </c:pt>
                <c:pt idx="28">
                  <c:v>5148.32801055471</c:v>
                </c:pt>
                <c:pt idx="29">
                  <c:v>6075.02705245455</c:v>
                </c:pt>
                <c:pt idx="30">
                  <c:v>7168.53192189637</c:v>
                </c:pt>
                <c:pt idx="31">
                  <c:v>8458.86766783772</c:v>
                </c:pt>
                <c:pt idx="32">
                  <c:v>9981.46384804851</c:v>
                </c:pt>
                <c:pt idx="33">
                  <c:v>11778.1273406972</c:v>
                </c:pt>
                <c:pt idx="34">
                  <c:v>13898.1902620227</c:v>
                </c:pt>
                <c:pt idx="35">
                  <c:v>16399.8645091868</c:v>
                </c:pt>
                <c:pt idx="36">
                  <c:v>19351.8401208405</c:v>
                </c:pt>
                <c:pt idx="37">
                  <c:v>22835.1713425917</c:v>
                </c:pt>
                <c:pt idx="38">
                  <c:v>26945.5021842583</c:v>
                </c:pt>
                <c:pt idx="39">
                  <c:v>31795.6925774247</c:v>
                </c:pt>
                <c:pt idx="40">
                  <c:v>37518.9172413612</c:v>
                </c:pt>
                <c:pt idx="41">
                  <c:v>44272.3223448062</c:v>
                </c:pt>
                <c:pt idx="42">
                  <c:v>52241.3403668713</c:v>
                </c:pt>
                <c:pt idx="43">
                  <c:v>61644.7816329081</c:v>
                </c:pt>
                <c:pt idx="44">
                  <c:v>72740.8423268316</c:v>
                </c:pt>
                <c:pt idx="45">
                  <c:v>85834.1939456613</c:v>
                </c:pt>
                <c:pt idx="46">
                  <c:v>101284.34885588</c:v>
                </c:pt>
                <c:pt idx="47">
                  <c:v>119515.531649939</c:v>
                </c:pt>
                <c:pt idx="48">
                  <c:v>141028.327346928</c:v>
                </c:pt>
                <c:pt idx="49">
                  <c:v>166413.426269375</c:v>
                </c:pt>
                <c:pt idx="50">
                  <c:v>196367.842997862</c:v>
                </c:pt>
                <c:pt idx="51">
                  <c:v>231714.054737477</c:v>
                </c:pt>
                <c:pt idx="52">
                  <c:v>273422.584590223</c:v>
                </c:pt>
                <c:pt idx="53">
                  <c:v>322638.649816463</c:v>
                </c:pt>
                <c:pt idx="54">
                  <c:v>380713.606783427</c:v>
                </c:pt>
                <c:pt idx="55">
                  <c:v>449242.056004444</c:v>
                </c:pt>
                <c:pt idx="56">
                  <c:v>530105.626085243</c:v>
                </c:pt>
                <c:pt idx="57">
                  <c:v>625524.638780587</c:v>
                </c:pt>
                <c:pt idx="58">
                  <c:v>738119.073761093</c:v>
                </c:pt>
                <c:pt idx="59">
                  <c:v>870980.507038089</c:v>
                </c:pt>
              </c:numCache>
            </c:numRef>
          </c:val>
          <c:smooth val="1"/>
        </c:ser>
        <c:ser>
          <c:idx val="1"/>
          <c:order val="1"/>
          <c:tx>
            <c:strRef>
              <c:f>'Baseline Economy'!D5</c:f>
              <c:strCache>
                <c:ptCount val="1"/>
                <c:pt idx="0">
                  <c:v>Upgrade cost ($)</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'Baseline Economy'!$B$6:$B$65</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'Baseline Economy'!$D$6:$D$65</c:f>
              <c:numCache>
                <c:formatCode>#,##0;\(#,##0\);\-</c:formatCode>
                <c:ptCount val="60"/>
                <c:pt idx="0">
                  <c:v>100</c:v>
                </c:pt>
                <c:pt idx="1">
                  <c:v>121</c:v>
                </c:pt>
                <c:pt idx="2">
                  <c:v>146.41</c:v>
                </c:pt>
                <c:pt idx="3">
                  <c:v>177.1561</c:v>
                </c:pt>
                <c:pt idx="4">
                  <c:v>214.358881</c:v>
                </c:pt>
                <c:pt idx="5">
                  <c:v>259.37424601</c:v>
                </c:pt>
                <c:pt idx="6">
                  <c:v>313.8428376721</c:v>
                </c:pt>
                <c:pt idx="7">
                  <c:v>379.749833583241</c:v>
                </c:pt>
                <c:pt idx="8">
                  <c:v>459.497298635722</c:v>
                </c:pt>
                <c:pt idx="9">
                  <c:v>555.991731349223</c:v>
                </c:pt>
                <c:pt idx="10">
                  <c:v>672.74999493256</c:v>
                </c:pt>
                <c:pt idx="11">
                  <c:v>814.027493868397</c:v>
                </c:pt>
                <c:pt idx="12">
                  <c:v>984.973267580761</c:v>
                </c:pt>
                <c:pt idx="13">
                  <c:v>1191.81765377272</c:v>
                </c:pt>
                <c:pt idx="14">
                  <c:v>1442.09936106499</c:v>
                </c:pt>
                <c:pt idx="15">
                  <c:v>1744.94022688864</c:v>
                </c:pt>
                <c:pt idx="16">
                  <c:v>2111.37767453525</c:v>
                </c:pt>
                <c:pt idx="17">
                  <c:v>2554.76698618766</c:v>
                </c:pt>
                <c:pt idx="18">
                  <c:v>3091.26805328707</c:v>
                </c:pt>
                <c:pt idx="19">
                  <c:v>3740.43434447735</c:v>
                </c:pt>
                <c:pt idx="20">
                  <c:v>4525.92555681759</c:v>
                </c:pt>
                <c:pt idx="21">
                  <c:v>5476.36992374929</c:v>
                </c:pt>
                <c:pt idx="22">
                  <c:v>6626.40760773664</c:v>
                </c:pt>
                <c:pt idx="23">
                  <c:v>8017.95320536133</c:v>
                </c:pt>
                <c:pt idx="24">
                  <c:v>9701.72337848721</c:v>
                </c:pt>
                <c:pt idx="25">
                  <c:v>11739.0852879695</c:v>
                </c:pt>
                <c:pt idx="26">
                  <c:v>14204.2931984431</c:v>
                </c:pt>
                <c:pt idx="27">
                  <c:v>17187.1947701162</c:v>
                </c:pt>
                <c:pt idx="28">
                  <c:v>20796.5056718406</c:v>
                </c:pt>
                <c:pt idx="29">
                  <c:v>25163.7718629271</c:v>
                </c:pt>
                <c:pt idx="30">
                  <c:v>30448.1639541418</c:v>
                </c:pt>
                <c:pt idx="31">
                  <c:v>36842.2783845116</c:v>
                </c:pt>
                <c:pt idx="32">
                  <c:v>44579.156845259</c:v>
                </c:pt>
                <c:pt idx="33">
                  <c:v>53940.7797827634</c:v>
                </c:pt>
                <c:pt idx="34">
                  <c:v>65268.3435371437</c:v>
                </c:pt>
                <c:pt idx="35">
                  <c:v>78974.6956799438</c:v>
                </c:pt>
                <c:pt idx="36">
                  <c:v>95559.381772732</c:v>
                </c:pt>
                <c:pt idx="37">
                  <c:v>115626.851945006</c:v>
                </c:pt>
                <c:pt idx="38">
                  <c:v>139908.490853457</c:v>
                </c:pt>
                <c:pt idx="39">
                  <c:v>169289.273932683</c:v>
                </c:pt>
                <c:pt idx="40">
                  <c:v>204840.021458546</c:v>
                </c:pt>
                <c:pt idx="41">
                  <c:v>247856.425964841</c:v>
                </c:pt>
                <c:pt idx="42">
                  <c:v>299906.275417458</c:v>
                </c:pt>
                <c:pt idx="43">
                  <c:v>362886.593255124</c:v>
                </c:pt>
                <c:pt idx="44">
                  <c:v>439092.7778387</c:v>
                </c:pt>
                <c:pt idx="45">
                  <c:v>531302.261184827</c:v>
                </c:pt>
                <c:pt idx="46">
                  <c:v>642875.73603364</c:v>
                </c:pt>
                <c:pt idx="47">
                  <c:v>777879.640600705</c:v>
                </c:pt>
                <c:pt idx="48">
                  <c:v>941234.365126853</c:v>
                </c:pt>
                <c:pt idx="49">
                  <c:v>1138893.58180349</c:v>
                </c:pt>
                <c:pt idx="50">
                  <c:v>1378061.23398223</c:v>
                </c:pt>
                <c:pt idx="51">
                  <c:v>1667454.09311849</c:v>
                </c:pt>
                <c:pt idx="52">
                  <c:v>2017619.45267338</c:v>
                </c:pt>
                <c:pt idx="53">
                  <c:v>2441319.53773478</c:v>
                </c:pt>
                <c:pt idx="54">
                  <c:v>2953996.64065909</c:v>
                </c:pt>
                <c:pt idx="55">
                  <c:v>3574335.9351975</c:v>
                </c:pt>
                <c:pt idx="56">
                  <c:v>4324946.48158897</c:v>
                </c:pt>
                <c:pt idx="57">
                  <c:v>5233185.24272266</c:v>
                </c:pt>
                <c:pt idx="58">
                  <c:v>6332154.14369441</c:v>
                </c:pt>
                <c:pt idx="59">
                  <c:v>7661906.51387024</c:v>
                </c:pt>
              </c:numCache>
            </c:numRef>
          </c:val>
          <c:smooth val="1"/>
        </c:ser>
        <c:hiLowLines>
          <c:spPr>
            <a:ln w="0">
              <a:noFill/>
            </a:ln>
          </c:spPr>
        </c:hiLowLines>
        <c:marker val="0"/>
        <c:axId val="99696651"/>
        <c:axId val="30816561"/>
      </c:lineChart>
      <c:catAx>
        <c:axId val="9969665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Player level</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816561"/>
        <c:crosses val="autoZero"/>
        <c:auto val="1"/>
        <c:lblAlgn val="ctr"/>
        <c:lblOffset val="100"/>
        <c:noMultiLvlLbl val="0"/>
      </c:catAx>
      <c:valAx>
        <c:axId val="30816561"/>
        <c:scaling>
          <c:logBase val="10"/>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(log)</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69665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Offline cash buffer ÷ next upgrade cost (surplus ratio)</a:t>
            </a:r>
          </a:p>
        </c:rich>
      </c:tx>
      <c:overlay val="0"/>
      <c:spPr>
        <a:noFill/>
        <a:ln w="0">
          <a:noFill/>
        </a:ln>
      </c:spPr>
    </c:title>
    <c:autoTitleDeleted val="0"/>
    <c:plotArea>
      <c:lineChart>
        <c:grouping val="standard"/>
        <c:varyColors val="0"/>
        <c:ser>
          <c:idx val="0"/>
          <c:order val="0"/>
          <c:tx>
            <c:strRef>
              <c:f>'Baseline Economy'!H5</c:f>
              <c:strCache>
                <c:ptCount val="1"/>
                <c:pt idx="0">
                  <c:v>Surplus ratio</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'Baseline Economy'!$B$6:$B$65</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'Baseline Economy'!$H$6:$H$65</c:f>
              <c:numCache>
                <c:formatCode>0.00\x</c:formatCode>
                <c:ptCount val="60"/>
                <c:pt idx="0">
                  <c:v>21600</c:v>
                </c:pt>
                <c:pt idx="1">
                  <c:v>21064.4628099174</c:v>
                </c:pt>
                <c:pt idx="2">
                  <c:v>20542.203401407</c:v>
                </c:pt>
                <c:pt idx="3">
                  <c:v>20032.8925732729</c:v>
                </c:pt>
                <c:pt idx="4">
                  <c:v>19536.2092863323</c:v>
                </c:pt>
                <c:pt idx="5">
                  <c:v>19051.8404610513</c:v>
                </c:pt>
                <c:pt idx="6">
                  <c:v>18579.4807801988</c:v>
                </c:pt>
                <c:pt idx="7">
                  <c:v>18118.8324963922</c:v>
                </c:pt>
                <c:pt idx="8">
                  <c:v>17669.6052444156</c:v>
                </c:pt>
                <c:pt idx="9">
                  <c:v>17231.5158581904</c:v>
                </c:pt>
                <c:pt idx="10">
                  <c:v>16804.2881922848</c:v>
                </c:pt>
                <c:pt idx="11">
                  <c:v>16387.652947848</c:v>
                </c:pt>
                <c:pt idx="12">
                  <c:v>15981.3475028601</c:v>
                </c:pt>
                <c:pt idx="13">
                  <c:v>15585.1157465908</c:v>
                </c:pt>
                <c:pt idx="14">
                  <c:v>15198.7079181629</c:v>
                </c:pt>
                <c:pt idx="15">
                  <c:v>14821.8804491176</c:v>
                </c:pt>
                <c:pt idx="16">
                  <c:v>14454.3958098832</c:v>
                </c:pt>
                <c:pt idx="17">
                  <c:v>14096.0223600514</c:v>
                </c:pt>
                <c:pt idx="18">
                  <c:v>13746.5342023642</c:v>
                </c:pt>
                <c:pt idx="19">
                  <c:v>13405.7110403221</c:v>
                </c:pt>
                <c:pt idx="20">
                  <c:v>13073.3380393224</c:v>
                </c:pt>
                <c:pt idx="21">
                  <c:v>12749.20569124</c:v>
                </c:pt>
                <c:pt idx="22">
                  <c:v>12433.1096823663</c:v>
                </c:pt>
                <c:pt idx="23">
                  <c:v>12124.8507646217</c:v>
                </c:pt>
                <c:pt idx="24">
                  <c:v>11824.2346299616</c:v>
                </c:pt>
                <c:pt idx="25">
                  <c:v>11531.0717878965</c:v>
                </c:pt>
                <c:pt idx="26">
                  <c:v>11245.1774460478</c:v>
                </c:pt>
                <c:pt idx="27">
                  <c:v>10966.3713936664</c:v>
                </c:pt>
                <c:pt idx="28">
                  <c:v>10694.4778880384</c:v>
                </c:pt>
                <c:pt idx="29">
                  <c:v>10429.3255437068</c:v>
                </c:pt>
                <c:pt idx="30">
                  <c:v>10170.7472244414</c:v>
                </c:pt>
                <c:pt idx="31">
                  <c:v>9918.57993788497</c:v>
                </c:pt>
                <c:pt idx="32">
                  <c:v>9672.66473281344</c:v>
                </c:pt>
                <c:pt idx="33">
                  <c:v>9432.84659894204</c:v>
                </c:pt>
                <c:pt idx="34">
                  <c:v>9198.9743692162</c:v>
                </c:pt>
                <c:pt idx="35">
                  <c:v>8970.90062452489</c:v>
                </c:pt>
                <c:pt idx="36">
                  <c:v>8748.48160077634</c:v>
                </c:pt>
                <c:pt idx="37">
                  <c:v>8531.57709827775</c:v>
                </c:pt>
                <c:pt idx="38">
                  <c:v>8320.05039336177</c:v>
                </c:pt>
                <c:pt idx="39">
                  <c:v>8113.76815220404</c:v>
                </c:pt>
                <c:pt idx="40">
                  <c:v>7912.6003467775</c:v>
                </c:pt>
                <c:pt idx="41">
                  <c:v>7716.42017289045</c:v>
                </c:pt>
                <c:pt idx="42">
                  <c:v>7525.1039702568</c:v>
                </c:pt>
                <c:pt idx="43">
                  <c:v>7338.53114454795</c:v>
                </c:pt>
                <c:pt idx="44">
                  <c:v>7156.58409137734</c:v>
                </c:pt>
                <c:pt idx="45">
                  <c:v>6979.14812216964</c:v>
                </c:pt>
                <c:pt idx="46">
                  <c:v>6806.11139186792</c:v>
                </c:pt>
                <c:pt idx="47">
                  <c:v>6637.36482843317</c:v>
                </c:pt>
                <c:pt idx="48">
                  <c:v>6472.80206409186</c:v>
                </c:pt>
                <c:pt idx="49">
                  <c:v>6312.31936828792</c:v>
                </c:pt>
                <c:pt idx="50">
                  <c:v>6155.81558229731</c:v>
                </c:pt>
                <c:pt idx="51">
                  <c:v>6003.1920554635</c:v>
                </c:pt>
                <c:pt idx="52">
                  <c:v>5854.35258301399</c:v>
                </c:pt>
                <c:pt idx="53">
                  <c:v>5709.2033454186</c:v>
                </c:pt>
                <c:pt idx="54">
                  <c:v>5567.6528492512</c:v>
                </c:pt>
                <c:pt idx="55">
                  <c:v>5429.61186951769</c:v>
                </c:pt>
                <c:pt idx="56">
                  <c:v>5294.99339341395</c:v>
                </c:pt>
                <c:pt idx="57">
                  <c:v>5163.71256547807</c:v>
                </c:pt>
                <c:pt idx="58">
                  <c:v>5035.68663410258</c:v>
                </c:pt>
                <c:pt idx="59">
                  <c:v>4910.83489937276</c:v>
                </c:pt>
              </c:numCache>
            </c:numRef>
          </c:val>
          <c:smooth val="1"/>
        </c:ser>
        <c:hiLowLines>
          <c:spPr>
            <a:ln w="0">
              <a:noFill/>
            </a:ln>
          </c:spPr>
        </c:hiLowLines>
        <c:marker val="0"/>
        <c:axId val="85253171"/>
        <c:axId val="47581834"/>
      </c:lineChart>
      <c:catAx>
        <c:axId val="8525317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Player level</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581834"/>
        <c:crosses val="autoZero"/>
        <c:auto val="1"/>
        <c:lblAlgn val="ctr"/>
        <c:lblOffset val="100"/>
        <c:noMultiLvlLbl val="0"/>
      </c:catAx>
      <c:valAx>
        <c:axId val="4758183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 next upgrade</a:t>
                </a:r>
              </a:p>
            </c:rich>
          </c:tx>
          <c:overlay val="0"/>
          <c:spPr>
            <a:noFill/>
            <a:ln w="0">
              <a:noFill/>
            </a:ln>
          </c:spPr>
        </c:title>
        <c:numFmt formatCode="0.00\x"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25317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71</xdr:row>
      <xdr:rowOff>0</xdr:rowOff>
    </xdr:from>
    <xdr:to>
      <xdr:col>5</xdr:col>
      <xdr:colOff>1107000</xdr:colOff>
      <xdr:row>87</xdr:row>
      <xdr:rowOff>11160</xdr:rowOff>
    </xdr:to>
    <xdr:graphicFrame>
      <xdr:nvGraphicFramePr>
        <xdr:cNvPr id="0" name="Chart 1"/>
        <xdr:cNvGraphicFramePr/>
      </xdr:nvGraphicFramePr>
      <xdr:xfrm>
        <a:off x="141120" y="14687640"/>
        <a:ext cx="5758920" cy="305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88</xdr:row>
      <xdr:rowOff>0</xdr:rowOff>
    </xdr:from>
    <xdr:to>
      <xdr:col>5</xdr:col>
      <xdr:colOff>1107000</xdr:colOff>
      <xdr:row>104</xdr:row>
      <xdr:rowOff>11160</xdr:rowOff>
    </xdr:to>
    <xdr:graphicFrame>
      <xdr:nvGraphicFramePr>
        <xdr:cNvPr id="1" name="Chart 2"/>
        <xdr:cNvGraphicFramePr/>
      </xdr:nvGraphicFramePr>
      <xdr:xfrm>
        <a:off x="141120" y="17926200"/>
        <a:ext cx="5758920" cy="305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G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6" min="2" style="1" width="22"/>
    <col collapsed="false" customWidth="true" hidden="false" outlineLevel="0" max="7" min="7" style="1" width="18"/>
    <col collapsed="false" customWidth="true" hidden="false" outlineLevel="0" max="8" min="8" style="1" width="2"/>
  </cols>
  <sheetData>
    <row r="2" customFormat="false" ht="33.75" hidden="false" customHeight="true" outlineLevel="0" collapsed="false">
      <c r="B2" s="2" t="s">
        <v>0</v>
      </c>
      <c r="C2" s="2"/>
      <c r="D2" s="2"/>
      <c r="E2" s="2"/>
      <c r="F2" s="2"/>
      <c r="G2" s="2"/>
    </row>
    <row r="3" customFormat="false" ht="19.5" hidden="false" customHeight="true" outlineLevel="0" collapsed="false">
      <c r="B3" s="3" t="s">
        <v>1</v>
      </c>
      <c r="C3" s="3"/>
      <c r="D3" s="3"/>
      <c r="E3" s="3"/>
      <c r="F3" s="3"/>
      <c r="G3" s="3"/>
    </row>
    <row r="5" customFormat="false" ht="18" hidden="false" customHeight="true" outlineLevel="0" collapsed="false">
      <c r="B5" s="4" t="s">
        <v>2</v>
      </c>
      <c r="C5" s="4"/>
      <c r="D5" s="4"/>
      <c r="E5" s="4"/>
      <c r="F5" s="4"/>
      <c r="G5" s="4"/>
    </row>
    <row r="6" customFormat="false" ht="15" hidden="false" customHeight="true" outlineLevel="0" collapsed="false">
      <c r="B6" s="5" t="s">
        <v>3</v>
      </c>
      <c r="C6" s="5"/>
      <c r="D6" s="5"/>
      <c r="E6" s="5"/>
      <c r="F6" s="5"/>
      <c r="G6" s="5"/>
    </row>
    <row r="7" customFormat="false" ht="15" hidden="false" customHeight="true" outlineLevel="0" collapsed="false">
      <c r="B7" s="5"/>
      <c r="C7" s="5"/>
      <c r="D7" s="5"/>
      <c r="E7" s="5"/>
      <c r="F7" s="5"/>
      <c r="G7" s="5"/>
    </row>
    <row r="8" customFormat="false" ht="15" hidden="false" customHeight="true" outlineLevel="0" collapsed="false">
      <c r="B8" s="5"/>
      <c r="C8" s="5"/>
      <c r="D8" s="5"/>
      <c r="E8" s="5"/>
      <c r="F8" s="5"/>
      <c r="G8" s="5"/>
    </row>
    <row r="9" customFormat="false" ht="15" hidden="false" customHeight="true" outlineLevel="0" collapsed="false">
      <c r="B9" s="5"/>
      <c r="C9" s="5"/>
      <c r="D9" s="5"/>
      <c r="E9" s="5"/>
      <c r="F9" s="5"/>
      <c r="G9" s="5"/>
    </row>
    <row r="11" customFormat="false" ht="18" hidden="false" customHeight="true" outlineLevel="0" collapsed="false">
      <c r="B11" s="4" t="s">
        <v>4</v>
      </c>
      <c r="C11" s="4"/>
      <c r="D11" s="4"/>
      <c r="E11" s="4"/>
      <c r="F11" s="4"/>
      <c r="G11" s="4"/>
    </row>
    <row r="12" customFormat="false" ht="25.5" hidden="false" customHeight="true" outlineLevel="0" collapsed="false">
      <c r="B12" s="6" t="s">
        <v>5</v>
      </c>
      <c r="C12" s="7" t="s">
        <v>6</v>
      </c>
      <c r="D12" s="7"/>
      <c r="E12" s="7"/>
      <c r="F12" s="7"/>
      <c r="G12" s="7"/>
    </row>
    <row r="13" customFormat="false" ht="25.5" hidden="false" customHeight="true" outlineLevel="0" collapsed="false">
      <c r="B13" s="6" t="s">
        <v>7</v>
      </c>
      <c r="C13" s="7" t="s">
        <v>8</v>
      </c>
      <c r="D13" s="7"/>
      <c r="E13" s="7"/>
      <c r="F13" s="7"/>
      <c r="G13" s="7"/>
    </row>
    <row r="14" customFormat="false" ht="25.5" hidden="false" customHeight="true" outlineLevel="0" collapsed="false">
      <c r="B14" s="6" t="s">
        <v>9</v>
      </c>
      <c r="C14" s="7" t="s">
        <v>10</v>
      </c>
      <c r="D14" s="7"/>
      <c r="E14" s="7"/>
      <c r="F14" s="7"/>
      <c r="G14" s="7"/>
    </row>
    <row r="15" customFormat="false" ht="25.5" hidden="false" customHeight="true" outlineLevel="0" collapsed="false">
      <c r="B15" s="6" t="s">
        <v>11</v>
      </c>
      <c r="C15" s="7" t="s">
        <v>12</v>
      </c>
      <c r="D15" s="7"/>
      <c r="E15" s="7"/>
      <c r="F15" s="7"/>
      <c r="G15" s="7"/>
    </row>
    <row r="16" customFormat="false" ht="25.5" hidden="false" customHeight="true" outlineLevel="0" collapsed="false">
      <c r="B16" s="6" t="s">
        <v>13</v>
      </c>
      <c r="C16" s="7" t="s">
        <v>14</v>
      </c>
      <c r="D16" s="7"/>
      <c r="E16" s="7"/>
      <c r="F16" s="7"/>
      <c r="G16" s="7"/>
    </row>
    <row r="18" customFormat="false" ht="18" hidden="false" customHeight="true" outlineLevel="0" collapsed="false">
      <c r="B18" s="4" t="s">
        <v>15</v>
      </c>
      <c r="C18" s="4"/>
      <c r="D18" s="4"/>
      <c r="E18" s="4"/>
      <c r="F18" s="4"/>
      <c r="G18" s="4"/>
    </row>
    <row r="19" customFormat="false" ht="15.75" hidden="false" customHeight="true" outlineLevel="0" collapsed="false">
      <c r="B19" s="8" t="s">
        <v>16</v>
      </c>
      <c r="C19" s="9" t="s">
        <v>17</v>
      </c>
      <c r="D19" s="9"/>
      <c r="E19" s="9"/>
      <c r="F19" s="9"/>
      <c r="G19" s="9"/>
    </row>
    <row r="20" customFormat="false" ht="15.75" hidden="false" customHeight="true" outlineLevel="0" collapsed="false">
      <c r="B20" s="10" t="s">
        <v>18</v>
      </c>
      <c r="C20" s="9" t="s">
        <v>19</v>
      </c>
      <c r="D20" s="9"/>
      <c r="E20" s="9"/>
      <c r="F20" s="9"/>
      <c r="G20" s="9"/>
    </row>
    <row r="21" customFormat="false" ht="15.75" hidden="false" customHeight="true" outlineLevel="0" collapsed="false">
      <c r="B21" s="11" t="s">
        <v>20</v>
      </c>
      <c r="C21" s="9" t="s">
        <v>21</v>
      </c>
      <c r="D21" s="9"/>
      <c r="E21" s="9"/>
      <c r="F21" s="9"/>
      <c r="G21" s="9"/>
    </row>
    <row r="22" customFormat="false" ht="15.75" hidden="false" customHeight="true" outlineLevel="0" collapsed="false">
      <c r="B22" s="12" t="s">
        <v>22</v>
      </c>
      <c r="C22" s="9" t="s">
        <v>23</v>
      </c>
      <c r="D22" s="9"/>
      <c r="E22" s="9"/>
      <c r="F22" s="9"/>
      <c r="G22" s="9"/>
    </row>
    <row r="24" customFormat="false" ht="15" hidden="false" customHeight="true" outlineLevel="0" collapsed="false">
      <c r="B24" s="13" t="s">
        <v>24</v>
      </c>
      <c r="C24" s="13"/>
      <c r="D24" s="13"/>
      <c r="E24" s="13"/>
      <c r="F24" s="13"/>
      <c r="G24" s="13"/>
    </row>
    <row r="25" customFormat="false" ht="15" hidden="false" customHeight="true" outlineLevel="0" collapsed="false">
      <c r="B25" s="13"/>
      <c r="C25" s="13"/>
      <c r="D25" s="13"/>
      <c r="E25" s="13"/>
      <c r="F25" s="13"/>
      <c r="G25" s="13"/>
    </row>
  </sheetData>
  <mergeCells count="16">
    <mergeCell ref="B2:G2"/>
    <mergeCell ref="B3:G3"/>
    <mergeCell ref="B5:G5"/>
    <mergeCell ref="B6:G9"/>
    <mergeCell ref="B11:G11"/>
    <mergeCell ref="C12:G12"/>
    <mergeCell ref="C13:G13"/>
    <mergeCell ref="C14:G14"/>
    <mergeCell ref="C15:G15"/>
    <mergeCell ref="C16:G16"/>
    <mergeCell ref="B18:G18"/>
    <mergeCell ref="C19:G19"/>
    <mergeCell ref="C20:G20"/>
    <mergeCell ref="C21:G21"/>
    <mergeCell ref="C22:G22"/>
    <mergeCell ref="B24: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2:E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3" min="3" style="1" width="16"/>
    <col collapsed="false" customWidth="true" hidden="false" outlineLevel="0" max="4" min="4" style="1" width="10"/>
    <col collapsed="false" customWidth="true" hidden="false" outlineLevel="0" max="5" min="5" style="1" width="44"/>
    <col collapsed="false" customWidth="true" hidden="false" outlineLevel="0" max="6" min="6" style="1" width="2"/>
  </cols>
  <sheetData>
    <row r="2" customFormat="false" ht="27.75" hidden="false" customHeight="true" outlineLevel="0" collapsed="false">
      <c r="A2" s="14" t="s">
        <v>25</v>
      </c>
      <c r="B2" s="14"/>
      <c r="C2" s="14"/>
      <c r="D2" s="14"/>
      <c r="E2" s="14"/>
    </row>
    <row r="3" customFormat="false" ht="15" hidden="false" customHeight="true" outlineLevel="0" collapsed="false">
      <c r="A3" s="15" t="s">
        <v>26</v>
      </c>
      <c r="B3" s="15"/>
      <c r="C3" s="15"/>
      <c r="D3" s="15"/>
      <c r="E3" s="15"/>
    </row>
    <row r="4" customFormat="false" ht="19.5" hidden="false" customHeight="true" outlineLevel="0" collapsed="false">
      <c r="A4" s="16" t="s">
        <v>27</v>
      </c>
      <c r="B4" s="16"/>
      <c r="C4" s="16"/>
      <c r="D4" s="16"/>
      <c r="E4" s="16"/>
    </row>
    <row r="5" customFormat="false" ht="15" hidden="false" customHeight="true" outlineLevel="0" collapsed="false">
      <c r="B5" s="17" t="s">
        <v>28</v>
      </c>
      <c r="C5" s="18" t="s">
        <v>29</v>
      </c>
      <c r="D5" s="18" t="s">
        <v>30</v>
      </c>
      <c r="E5" s="17" t="s">
        <v>31</v>
      </c>
    </row>
    <row r="6" customFormat="false" ht="24" hidden="false" customHeight="true" outlineLevel="0" collapsed="false">
      <c r="B6" s="19" t="s">
        <v>32</v>
      </c>
      <c r="C6" s="20" t="n">
        <v>50</v>
      </c>
      <c r="D6" s="21" t="s">
        <v>33</v>
      </c>
      <c r="E6" s="22" t="s">
        <v>34</v>
      </c>
    </row>
    <row r="7" customFormat="false" ht="24" hidden="false" customHeight="true" outlineLevel="0" collapsed="false">
      <c r="B7" s="19" t="s">
        <v>35</v>
      </c>
      <c r="C7" s="23" t="n">
        <v>1.18</v>
      </c>
      <c r="D7" s="21" t="s">
        <v>36</v>
      </c>
      <c r="E7" s="22" t="s">
        <v>37</v>
      </c>
    </row>
    <row r="8" customFormat="false" ht="24" hidden="false" customHeight="true" outlineLevel="0" collapsed="false">
      <c r="B8" s="19" t="s">
        <v>38</v>
      </c>
      <c r="C8" s="24" t="n">
        <v>1.21</v>
      </c>
      <c r="D8" s="21" t="s">
        <v>36</v>
      </c>
      <c r="E8" s="22" t="s">
        <v>39</v>
      </c>
    </row>
    <row r="9" customFormat="false" ht="24" hidden="false" customHeight="true" outlineLevel="0" collapsed="false">
      <c r="B9" s="19" t="s">
        <v>40</v>
      </c>
      <c r="C9" s="20" t="n">
        <v>100</v>
      </c>
      <c r="D9" s="21" t="s">
        <v>41</v>
      </c>
      <c r="E9" s="22" t="s">
        <v>42</v>
      </c>
    </row>
    <row r="10" customFormat="false" ht="24" hidden="false" customHeight="true" outlineLevel="0" collapsed="false">
      <c r="B10" s="19" t="s">
        <v>43</v>
      </c>
      <c r="C10" s="25" t="n">
        <v>60</v>
      </c>
      <c r="D10" s="21" t="s">
        <v>44</v>
      </c>
      <c r="E10" s="22" t="s">
        <v>45</v>
      </c>
    </row>
    <row r="11" customFormat="false" ht="24" hidden="false" customHeight="true" outlineLevel="0" collapsed="false">
      <c r="B11" s="19" t="s">
        <v>46</v>
      </c>
      <c r="C11" s="26" t="n">
        <v>4</v>
      </c>
      <c r="D11" s="21" t="s">
        <v>47</v>
      </c>
      <c r="E11" s="22" t="s">
        <v>48</v>
      </c>
    </row>
    <row r="12" customFormat="false" ht="24" hidden="false" customHeight="true" outlineLevel="0" collapsed="false">
      <c r="B12" s="19" t="s">
        <v>49</v>
      </c>
      <c r="C12" s="26" t="n">
        <v>6</v>
      </c>
      <c r="D12" s="21" t="s">
        <v>50</v>
      </c>
      <c r="E12" s="22" t="s">
        <v>51</v>
      </c>
    </row>
    <row r="13" customFormat="false" ht="24" hidden="false" customHeight="true" outlineLevel="0" collapsed="false">
      <c r="B13" s="19" t="s">
        <v>52</v>
      </c>
      <c r="C13" s="25" t="n">
        <v>12</v>
      </c>
      <c r="D13" s="21" t="s">
        <v>53</v>
      </c>
      <c r="E13" s="22" t="s">
        <v>54</v>
      </c>
    </row>
    <row r="15" customFormat="false" ht="19.5" hidden="false" customHeight="true" outlineLevel="0" collapsed="false">
      <c r="A15" s="16" t="s">
        <v>55</v>
      </c>
      <c r="B15" s="16"/>
      <c r="C15" s="16"/>
      <c r="D15" s="16"/>
      <c r="E15" s="16"/>
    </row>
    <row r="16" customFormat="false" ht="15" hidden="false" customHeight="true" outlineLevel="0" collapsed="false">
      <c r="B16" s="17" t="s">
        <v>28</v>
      </c>
      <c r="C16" s="18" t="s">
        <v>29</v>
      </c>
      <c r="D16" s="18" t="s">
        <v>30</v>
      </c>
      <c r="E16" s="17" t="s">
        <v>31</v>
      </c>
    </row>
    <row r="17" customFormat="false" ht="24" hidden="false" customHeight="true" outlineLevel="0" collapsed="false">
      <c r="B17" s="19" t="s">
        <v>56</v>
      </c>
      <c r="C17" s="27" t="n">
        <v>200000</v>
      </c>
      <c r="D17" s="21" t="s">
        <v>57</v>
      </c>
      <c r="E17" s="22" t="s">
        <v>58</v>
      </c>
    </row>
    <row r="18" customFormat="false" ht="24" hidden="false" customHeight="true" outlineLevel="0" collapsed="false">
      <c r="B18" s="19" t="s">
        <v>59</v>
      </c>
      <c r="C18" s="28" t="n">
        <v>0.0183</v>
      </c>
      <c r="D18" s="21" t="s">
        <v>60</v>
      </c>
      <c r="E18" s="22" t="s">
        <v>61</v>
      </c>
    </row>
    <row r="19" customFormat="false" ht="24" hidden="false" customHeight="true" outlineLevel="0" collapsed="false">
      <c r="B19" s="19" t="s">
        <v>62</v>
      </c>
      <c r="C19" s="28" t="n">
        <v>0.55</v>
      </c>
      <c r="D19" s="21" t="s">
        <v>60</v>
      </c>
      <c r="E19" s="22" t="s">
        <v>63</v>
      </c>
    </row>
    <row r="20" customFormat="false" ht="24" hidden="false" customHeight="true" outlineLevel="0" collapsed="false">
      <c r="B20" s="19" t="s">
        <v>64</v>
      </c>
      <c r="C20" s="28" t="n">
        <v>0.05</v>
      </c>
      <c r="D20" s="21" t="s">
        <v>60</v>
      </c>
      <c r="E20" s="22" t="s">
        <v>65</v>
      </c>
    </row>
    <row r="22" customFormat="false" ht="19.5" hidden="false" customHeight="true" outlineLevel="0" collapsed="false">
      <c r="A22" s="16" t="s">
        <v>66</v>
      </c>
      <c r="B22" s="16"/>
      <c r="C22" s="16"/>
      <c r="D22" s="16"/>
      <c r="E22" s="16"/>
    </row>
    <row r="23" customFormat="false" ht="15" hidden="false" customHeight="true" outlineLevel="0" collapsed="false">
      <c r="B23" s="17" t="s">
        <v>28</v>
      </c>
      <c r="C23" s="18" t="s">
        <v>29</v>
      </c>
      <c r="D23" s="18" t="s">
        <v>30</v>
      </c>
      <c r="E23" s="17" t="s">
        <v>31</v>
      </c>
    </row>
    <row r="24" customFormat="false" ht="24" hidden="false" customHeight="true" outlineLevel="0" collapsed="false">
      <c r="B24" s="19" t="s">
        <v>67</v>
      </c>
      <c r="C24" s="29" t="n">
        <v>15</v>
      </c>
      <c r="D24" s="21" t="s">
        <v>68</v>
      </c>
      <c r="E24" s="22" t="s">
        <v>69</v>
      </c>
    </row>
    <row r="25" customFormat="false" ht="24" hidden="false" customHeight="true" outlineLevel="0" collapsed="false">
      <c r="B25" s="19" t="s">
        <v>70</v>
      </c>
      <c r="C25" s="30" t="n">
        <v>8</v>
      </c>
      <c r="D25" s="21" t="s">
        <v>68</v>
      </c>
      <c r="E25" s="22" t="s">
        <v>71</v>
      </c>
    </row>
    <row r="26" customFormat="false" ht="24" hidden="false" customHeight="true" outlineLevel="0" collapsed="false">
      <c r="B26" s="19" t="s">
        <v>72</v>
      </c>
      <c r="C26" s="26" t="n">
        <v>6</v>
      </c>
      <c r="D26" s="21" t="s">
        <v>73</v>
      </c>
      <c r="E26" s="22" t="s">
        <v>74</v>
      </c>
    </row>
    <row r="27" customFormat="false" ht="24" hidden="false" customHeight="true" outlineLevel="0" collapsed="false">
      <c r="B27" s="19" t="s">
        <v>75</v>
      </c>
      <c r="C27" s="26" t="n">
        <v>8.5</v>
      </c>
      <c r="D27" s="21" t="s">
        <v>73</v>
      </c>
      <c r="E27" s="22" t="s">
        <v>76</v>
      </c>
    </row>
    <row r="28" customFormat="false" ht="24" hidden="false" customHeight="true" outlineLevel="0" collapsed="false">
      <c r="B28" s="19" t="s">
        <v>77</v>
      </c>
      <c r="C28" s="28" t="n">
        <v>0.92</v>
      </c>
      <c r="D28" s="21" t="s">
        <v>60</v>
      </c>
      <c r="E28" s="22" t="s">
        <v>78</v>
      </c>
    </row>
    <row r="30" customFormat="false" ht="19.5" hidden="false" customHeight="true" outlineLevel="0" collapsed="false">
      <c r="A30" s="16" t="s">
        <v>79</v>
      </c>
      <c r="B30" s="16"/>
      <c r="C30" s="16"/>
      <c r="D30" s="16"/>
      <c r="E30" s="16"/>
    </row>
    <row r="31" customFormat="false" ht="15" hidden="false" customHeight="true" outlineLevel="0" collapsed="false">
      <c r="B31" s="17" t="s">
        <v>28</v>
      </c>
      <c r="C31" s="18" t="s">
        <v>29</v>
      </c>
      <c r="D31" s="18" t="s">
        <v>30</v>
      </c>
      <c r="E31" s="17" t="s">
        <v>31</v>
      </c>
    </row>
    <row r="32" customFormat="false" ht="24" hidden="false" customHeight="true" outlineLevel="0" collapsed="false">
      <c r="B32" s="19" t="s">
        <v>80</v>
      </c>
      <c r="C32" s="31" t="n">
        <v>0.4</v>
      </c>
      <c r="D32" s="21" t="s">
        <v>60</v>
      </c>
      <c r="E32" s="22" t="s">
        <v>81</v>
      </c>
    </row>
    <row r="33" customFormat="false" ht="24" hidden="false" customHeight="true" outlineLevel="0" collapsed="false">
      <c r="B33" s="19" t="s">
        <v>82</v>
      </c>
      <c r="C33" s="26" t="n">
        <v>4</v>
      </c>
      <c r="D33" s="21" t="s">
        <v>53</v>
      </c>
      <c r="E33" s="22" t="s">
        <v>83</v>
      </c>
    </row>
    <row r="34" customFormat="false" ht="24" hidden="false" customHeight="true" outlineLevel="0" collapsed="false">
      <c r="B34" s="19" t="s">
        <v>84</v>
      </c>
      <c r="C34" s="24" t="n">
        <v>1.5</v>
      </c>
      <c r="D34" s="21" t="s">
        <v>85</v>
      </c>
      <c r="E34" s="22" t="s">
        <v>86</v>
      </c>
    </row>
    <row r="35" customFormat="false" ht="24" hidden="false" customHeight="true" outlineLevel="0" collapsed="false">
      <c r="B35" s="19" t="s">
        <v>87</v>
      </c>
      <c r="C35" s="28" t="n">
        <v>0.1</v>
      </c>
      <c r="D35" s="21" t="s">
        <v>60</v>
      </c>
      <c r="E35" s="22" t="s">
        <v>88</v>
      </c>
    </row>
    <row r="36" customFormat="false" ht="24" hidden="false" customHeight="true" outlineLevel="0" collapsed="false">
      <c r="B36" s="19" t="s">
        <v>89</v>
      </c>
      <c r="C36" s="25" t="n">
        <v>25</v>
      </c>
      <c r="D36" s="21" t="s">
        <v>90</v>
      </c>
      <c r="E36" s="22" t="s">
        <v>91</v>
      </c>
    </row>
    <row r="37" customFormat="false" ht="24" hidden="false" customHeight="true" outlineLevel="0" collapsed="false">
      <c r="B37" s="19" t="s">
        <v>92</v>
      </c>
      <c r="C37" s="25" t="n">
        <v>3</v>
      </c>
      <c r="D37" s="21" t="s">
        <v>93</v>
      </c>
      <c r="E37" s="22" t="s">
        <v>94</v>
      </c>
    </row>
    <row r="38" customFormat="false" ht="24" hidden="false" customHeight="true" outlineLevel="0" collapsed="false">
      <c r="B38" s="19" t="s">
        <v>95</v>
      </c>
      <c r="C38" s="25" t="n">
        <v>40</v>
      </c>
      <c r="D38" s="21" t="s">
        <v>90</v>
      </c>
      <c r="E38" s="22" t="s">
        <v>96</v>
      </c>
    </row>
    <row r="39" customFormat="false" ht="24" hidden="false" customHeight="true" outlineLevel="0" collapsed="false">
      <c r="B39" s="19" t="s">
        <v>97</v>
      </c>
      <c r="C39" s="31" t="n">
        <v>0.45</v>
      </c>
      <c r="D39" s="21" t="s">
        <v>60</v>
      </c>
      <c r="E39" s="22" t="s">
        <v>98</v>
      </c>
    </row>
    <row r="41" customFormat="false" ht="19.5" hidden="false" customHeight="true" outlineLevel="0" collapsed="false">
      <c r="A41" s="16" t="s">
        <v>99</v>
      </c>
      <c r="B41" s="16"/>
      <c r="C41" s="16"/>
      <c r="D41" s="16"/>
      <c r="E41" s="16"/>
    </row>
    <row r="42" customFormat="false" ht="15" hidden="false" customHeight="true" outlineLevel="0" collapsed="false">
      <c r="B42" s="17" t="s">
        <v>28</v>
      </c>
      <c r="C42" s="18" t="s">
        <v>29</v>
      </c>
      <c r="D42" s="18" t="s">
        <v>30</v>
      </c>
      <c r="E42" s="17" t="s">
        <v>31</v>
      </c>
    </row>
    <row r="43" customFormat="false" ht="24" hidden="false" customHeight="true" outlineLevel="0" collapsed="false">
      <c r="B43" s="19" t="s">
        <v>100</v>
      </c>
      <c r="C43" s="32" t="n">
        <v>0.01</v>
      </c>
      <c r="D43" s="21" t="s">
        <v>101</v>
      </c>
      <c r="E43" s="22" t="s">
        <v>102</v>
      </c>
    </row>
    <row r="44" customFormat="false" ht="24" hidden="false" customHeight="true" outlineLevel="0" collapsed="false">
      <c r="B44" s="19" t="s">
        <v>103</v>
      </c>
      <c r="C44" s="30" t="n">
        <v>0.18</v>
      </c>
      <c r="D44" s="21" t="s">
        <v>41</v>
      </c>
      <c r="E44" s="22" t="s">
        <v>104</v>
      </c>
    </row>
  </sheetData>
  <mergeCells count="7">
    <mergeCell ref="A2:E2"/>
    <mergeCell ref="A3:E3"/>
    <mergeCell ref="A4:E4"/>
    <mergeCell ref="A15:E15"/>
    <mergeCell ref="A22:E22"/>
    <mergeCell ref="A30:E30"/>
    <mergeCell ref="A41:E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496"/>
    <pageSetUpPr fitToPage="false"/>
  </sheetPr>
  <dimension ref="A2:H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0"/>
    <col collapsed="false" customWidth="true" hidden="false" outlineLevel="0" max="4" min="3" style="1" width="18"/>
    <col collapsed="false" customWidth="true" hidden="false" outlineLevel="0" max="7" min="5" style="1" width="20"/>
    <col collapsed="false" customWidth="true" hidden="false" outlineLevel="0" max="8" min="8" style="1" width="18"/>
    <col collapsed="false" customWidth="true" hidden="false" outlineLevel="0" max="9" min="9" style="1" width="2"/>
  </cols>
  <sheetData>
    <row r="2" customFormat="false" ht="27.75" hidden="false" customHeight="true" outlineLevel="0" collapsed="false">
      <c r="A2" s="14" t="s">
        <v>105</v>
      </c>
      <c r="B2" s="14"/>
      <c r="C2" s="14"/>
      <c r="D2" s="14"/>
      <c r="E2" s="14"/>
      <c r="F2" s="14"/>
      <c r="G2" s="14"/>
      <c r="H2" s="14"/>
    </row>
    <row r="3" customFormat="false" ht="15" hidden="false" customHeight="true" outlineLevel="0" collapsed="false">
      <c r="A3" s="15" t="s">
        <v>106</v>
      </c>
      <c r="B3" s="15"/>
      <c r="C3" s="15"/>
      <c r="D3" s="15"/>
      <c r="E3" s="15"/>
      <c r="F3" s="15"/>
      <c r="G3" s="15"/>
      <c r="H3" s="15"/>
    </row>
    <row r="4" customFormat="false" ht="19.5" hidden="false" customHeight="true" outlineLevel="0" collapsed="false">
      <c r="A4" s="16" t="s">
        <v>107</v>
      </c>
      <c r="B4" s="16"/>
      <c r="C4" s="16"/>
      <c r="D4" s="16"/>
      <c r="E4" s="16"/>
      <c r="F4" s="16"/>
      <c r="G4" s="16"/>
      <c r="H4" s="16"/>
    </row>
    <row r="5" customFormat="false" ht="39.75" hidden="false" customHeight="true" outlineLevel="0" collapsed="false">
      <c r="B5" s="33" t="s">
        <v>108</v>
      </c>
      <c r="C5" s="33" t="s">
        <v>109</v>
      </c>
      <c r="D5" s="33" t="s">
        <v>110</v>
      </c>
      <c r="E5" s="33" t="s">
        <v>111</v>
      </c>
      <c r="F5" s="33" t="s">
        <v>112</v>
      </c>
      <c r="G5" s="33" t="s">
        <v>113</v>
      </c>
      <c r="H5" s="33" t="s">
        <v>114</v>
      </c>
    </row>
    <row r="6" customFormat="false" ht="15" hidden="false" customHeight="true" outlineLevel="0" collapsed="false">
      <c r="B6" s="34" t="n">
        <v>1</v>
      </c>
      <c r="C6" s="35" t="n">
        <f aca="false">Parameters!$C$6*Parameters!$C$7^(B6-1)</f>
        <v>50</v>
      </c>
      <c r="D6" s="35" t="n">
        <f aca="false">Parameters!$C$9*Parameters!$C$8^(B6-1)</f>
        <v>100</v>
      </c>
      <c r="E6" s="35" t="n">
        <f aca="false">C6*3600</f>
        <v>180000</v>
      </c>
      <c r="F6" s="36" t="n">
        <f aca="false">D6/E6</f>
        <v>0.000555555555555556</v>
      </c>
      <c r="G6" s="35" t="n">
        <f aca="false">C6*3600*Parameters!$C$13</f>
        <v>2160000</v>
      </c>
      <c r="H6" s="37" t="n">
        <f aca="false">G6/D6</f>
        <v>21600</v>
      </c>
    </row>
    <row r="7" customFormat="false" ht="15" hidden="false" customHeight="true" outlineLevel="0" collapsed="false">
      <c r="B7" s="34" t="n">
        <v>2</v>
      </c>
      <c r="C7" s="35" t="n">
        <f aca="false">Parameters!$C$6*Parameters!$C$7^(B7-1)</f>
        <v>59</v>
      </c>
      <c r="D7" s="35" t="n">
        <f aca="false">Parameters!$C$9*Parameters!$C$8^(B7-1)</f>
        <v>121</v>
      </c>
      <c r="E7" s="35" t="n">
        <f aca="false">C7*3600</f>
        <v>212400</v>
      </c>
      <c r="F7" s="36" t="n">
        <f aca="false">D7/E7</f>
        <v>0.000569679849340866</v>
      </c>
      <c r="G7" s="35" t="n">
        <f aca="false">C7*3600*Parameters!$C$13</f>
        <v>2548800</v>
      </c>
      <c r="H7" s="37" t="n">
        <f aca="false">G7/D7</f>
        <v>21064.4628099174</v>
      </c>
    </row>
    <row r="8" customFormat="false" ht="15" hidden="false" customHeight="true" outlineLevel="0" collapsed="false">
      <c r="B8" s="34" t="n">
        <v>3</v>
      </c>
      <c r="C8" s="35" t="n">
        <f aca="false">Parameters!$C$6*Parameters!$C$7^(B8-1)</f>
        <v>69.62</v>
      </c>
      <c r="D8" s="35" t="n">
        <f aca="false">Parameters!$C$9*Parameters!$C$8^(B8-1)</f>
        <v>146.41</v>
      </c>
      <c r="E8" s="35" t="n">
        <f aca="false">C8*3600</f>
        <v>250632</v>
      </c>
      <c r="F8" s="36" t="n">
        <f aca="false">D8/E8</f>
        <v>0.000584163235341058</v>
      </c>
      <c r="G8" s="35" t="n">
        <f aca="false">C8*3600*Parameters!$C$13</f>
        <v>3007584</v>
      </c>
      <c r="H8" s="37" t="n">
        <f aca="false">G8/D8</f>
        <v>20542.203401407</v>
      </c>
    </row>
    <row r="9" customFormat="false" ht="15" hidden="false" customHeight="true" outlineLevel="0" collapsed="false">
      <c r="B9" s="34" t="n">
        <v>4</v>
      </c>
      <c r="C9" s="35" t="n">
        <f aca="false">Parameters!$C$6*Parameters!$C$7^(B9-1)</f>
        <v>82.1516</v>
      </c>
      <c r="D9" s="35" t="n">
        <f aca="false">Parameters!$C$9*Parameters!$C$8^(B9-1)</f>
        <v>177.1561</v>
      </c>
      <c r="E9" s="35" t="n">
        <f aca="false">C9*3600</f>
        <v>295745.76</v>
      </c>
      <c r="F9" s="36" t="n">
        <f aca="false">D9/E9</f>
        <v>0.00059901484301922</v>
      </c>
      <c r="G9" s="35" t="n">
        <f aca="false">C9*3600*Parameters!$C$13</f>
        <v>3548949.12</v>
      </c>
      <c r="H9" s="37" t="n">
        <f aca="false">G9/D9</f>
        <v>20032.8925732729</v>
      </c>
    </row>
    <row r="10" customFormat="false" ht="15" hidden="false" customHeight="true" outlineLevel="0" collapsed="false">
      <c r="B10" s="34" t="n">
        <v>5</v>
      </c>
      <c r="C10" s="35" t="n">
        <f aca="false">Parameters!$C$6*Parameters!$C$7^(B10-1)</f>
        <v>96.938888</v>
      </c>
      <c r="D10" s="35" t="n">
        <f aca="false">Parameters!$C$9*Parameters!$C$8^(B10-1)</f>
        <v>214.358881</v>
      </c>
      <c r="E10" s="35" t="n">
        <f aca="false">C10*3600</f>
        <v>348979.9968</v>
      </c>
      <c r="F10" s="36" t="n">
        <f aca="false">D10/E10</f>
        <v>0.000614244033943438</v>
      </c>
      <c r="G10" s="35" t="n">
        <f aca="false">C10*3600*Parameters!$C$13</f>
        <v>4187759.9616</v>
      </c>
      <c r="H10" s="37" t="n">
        <f aca="false">G10/D10</f>
        <v>19536.2092863323</v>
      </c>
    </row>
    <row r="11" customFormat="false" ht="15" hidden="false" customHeight="true" outlineLevel="0" collapsed="false">
      <c r="B11" s="34" t="n">
        <v>6</v>
      </c>
      <c r="C11" s="35" t="n">
        <f aca="false">Parameters!$C$6*Parameters!$C$7^(B11-1)</f>
        <v>114.38788784</v>
      </c>
      <c r="D11" s="35" t="n">
        <f aca="false">Parameters!$C$9*Parameters!$C$8^(B11-1)</f>
        <v>259.37424601</v>
      </c>
      <c r="E11" s="35" t="n">
        <f aca="false">C11*3600</f>
        <v>411796.396224</v>
      </c>
      <c r="F11" s="36" t="n">
        <f aca="false">D11/E11</f>
        <v>0.000629860407687763</v>
      </c>
      <c r="G11" s="35" t="n">
        <f aca="false">C11*3600*Parameters!$C$13</f>
        <v>4941556.754688</v>
      </c>
      <c r="H11" s="37" t="n">
        <f aca="false">G11/D11</f>
        <v>19051.8404610513</v>
      </c>
    </row>
    <row r="12" customFormat="false" ht="15" hidden="false" customHeight="true" outlineLevel="0" collapsed="false">
      <c r="B12" s="34" t="n">
        <v>7</v>
      </c>
      <c r="C12" s="35" t="n">
        <f aca="false">Parameters!$C$6*Parameters!$C$7^(B12-1)</f>
        <v>134.9777076512</v>
      </c>
      <c r="D12" s="35" t="n">
        <f aca="false">Parameters!$C$9*Parameters!$C$8^(B12-1)</f>
        <v>313.8428376721</v>
      </c>
      <c r="E12" s="35" t="n">
        <f aca="false">C12*3600</f>
        <v>485919.74754432</v>
      </c>
      <c r="F12" s="36" t="n">
        <f aca="false">D12/E12</f>
        <v>0.000645873807883214</v>
      </c>
      <c r="G12" s="35" t="n">
        <f aca="false">C12*3600*Parameters!$C$13</f>
        <v>5831036.97053184</v>
      </c>
      <c r="H12" s="37" t="n">
        <f aca="false">G12/D12</f>
        <v>18579.4807801988</v>
      </c>
    </row>
    <row r="13" customFormat="false" ht="15" hidden="false" customHeight="true" outlineLevel="0" collapsed="false">
      <c r="B13" s="34" t="n">
        <v>8</v>
      </c>
      <c r="C13" s="35" t="n">
        <f aca="false">Parameters!$C$6*Parameters!$C$7^(B13-1)</f>
        <v>159.273695028416</v>
      </c>
      <c r="D13" s="35" t="n">
        <f aca="false">Parameters!$C$9*Parameters!$C$8^(B13-1)</f>
        <v>379.749833583241</v>
      </c>
      <c r="E13" s="35" t="n">
        <f aca="false">C13*3600</f>
        <v>573385.302102297</v>
      </c>
      <c r="F13" s="36" t="n">
        <f aca="false">D13/E13</f>
        <v>0.000662294328422618</v>
      </c>
      <c r="G13" s="35" t="n">
        <f aca="false">C13*3600*Parameters!$C$13</f>
        <v>6880623.62522757</v>
      </c>
      <c r="H13" s="37" t="n">
        <f aca="false">G13/D13</f>
        <v>18118.8324963922</v>
      </c>
    </row>
    <row r="14" customFormat="false" ht="15" hidden="false" customHeight="true" outlineLevel="0" collapsed="false">
      <c r="B14" s="34" t="n">
        <v>9</v>
      </c>
      <c r="C14" s="35" t="n">
        <f aca="false">Parameters!$C$6*Parameters!$C$7^(B14-1)</f>
        <v>187.942960133531</v>
      </c>
      <c r="D14" s="35" t="n">
        <f aca="false">Parameters!$C$9*Parameters!$C$8^(B14-1)</f>
        <v>459.497298635722</v>
      </c>
      <c r="E14" s="35" t="n">
        <f aca="false">C14*3600</f>
        <v>676594.656480711</v>
      </c>
      <c r="F14" s="36" t="n">
        <f aca="false">D14/E14</f>
        <v>0.000679132319823193</v>
      </c>
      <c r="G14" s="35" t="n">
        <f aca="false">C14*3600*Parameters!$C$13</f>
        <v>8119135.87776853</v>
      </c>
      <c r="H14" s="37" t="n">
        <f aca="false">G14/D14</f>
        <v>17669.6052444156</v>
      </c>
    </row>
    <row r="15" customFormat="false" ht="15" hidden="false" customHeight="true" outlineLevel="0" collapsed="false">
      <c r="B15" s="34" t="n">
        <v>10</v>
      </c>
      <c r="C15" s="35" t="n">
        <f aca="false">Parameters!$C$6*Parameters!$C$7^(B15-1)</f>
        <v>221.772692957566</v>
      </c>
      <c r="D15" s="35" t="n">
        <f aca="false">Parameters!$C$9*Parameters!$C$8^(B15-1)</f>
        <v>555.991731349223</v>
      </c>
      <c r="E15" s="35" t="n">
        <f aca="false">C15*3600</f>
        <v>798381.694647239</v>
      </c>
      <c r="F15" s="36" t="n">
        <f aca="false">D15/E15</f>
        <v>0.000696398395750901</v>
      </c>
      <c r="G15" s="35" t="n">
        <f aca="false">C15*3600*Parameters!$C$13</f>
        <v>9580580.33576687</v>
      </c>
      <c r="H15" s="37" t="n">
        <f aca="false">G15/D15</f>
        <v>17231.5158581904</v>
      </c>
    </row>
    <row r="16" customFormat="false" ht="15" hidden="false" customHeight="true" outlineLevel="0" collapsed="false">
      <c r="B16" s="34" t="n">
        <v>11</v>
      </c>
      <c r="C16" s="35" t="n">
        <f aca="false">Parameters!$C$6*Parameters!$C$7^(B16-1)</f>
        <v>261.691777689928</v>
      </c>
      <c r="D16" s="35" t="n">
        <f aca="false">Parameters!$C$9*Parameters!$C$8^(B16-1)</f>
        <v>672.74999493256</v>
      </c>
      <c r="E16" s="35" t="n">
        <f aca="false">C16*3600</f>
        <v>942090.399683742</v>
      </c>
      <c r="F16" s="36" t="n">
        <f aca="false">D16/E16</f>
        <v>0.00071410343971067</v>
      </c>
      <c r="G16" s="35" t="n">
        <f aca="false">C16*3600*Parameters!$C$13</f>
        <v>11305084.7962049</v>
      </c>
      <c r="H16" s="37" t="n">
        <f aca="false">G16/D16</f>
        <v>16804.2881922848</v>
      </c>
    </row>
    <row r="17" customFormat="false" ht="15" hidden="false" customHeight="true" outlineLevel="0" collapsed="false">
      <c r="B17" s="34" t="n">
        <v>12</v>
      </c>
      <c r="C17" s="35" t="n">
        <f aca="false">Parameters!$C$6*Parameters!$C$7^(B17-1)</f>
        <v>308.796297674115</v>
      </c>
      <c r="D17" s="35" t="n">
        <f aca="false">Parameters!$C$9*Parameters!$C$8^(B17-1)</f>
        <v>814.027493868397</v>
      </c>
      <c r="E17" s="35" t="n">
        <f aca="false">C17*3600</f>
        <v>1111666.67162682</v>
      </c>
      <c r="F17" s="36" t="n">
        <f aca="false">D17/E17</f>
        <v>0.000732258611906704</v>
      </c>
      <c r="G17" s="35" t="n">
        <f aca="false">C17*3600*Parameters!$C$13</f>
        <v>13340000.0595218</v>
      </c>
      <c r="H17" s="37" t="n">
        <f aca="false">G17/D17</f>
        <v>16387.652947848</v>
      </c>
    </row>
    <row r="18" customFormat="false" ht="15" hidden="false" customHeight="true" outlineLevel="0" collapsed="false">
      <c r="B18" s="34" t="n">
        <v>13</v>
      </c>
      <c r="C18" s="35" t="n">
        <f aca="false">Parameters!$C$6*Parameters!$C$7^(B18-1)</f>
        <v>364.379631255456</v>
      </c>
      <c r="D18" s="35" t="n">
        <f aca="false">Parameters!$C$9*Parameters!$C$8^(B18-1)</f>
        <v>984.973267580761</v>
      </c>
      <c r="E18" s="35" t="n">
        <f aca="false">C18*3600</f>
        <v>1311766.67251964</v>
      </c>
      <c r="F18" s="36" t="n">
        <f aca="false">D18/E18</f>
        <v>0.000750875356277214</v>
      </c>
      <c r="G18" s="35" t="n">
        <f aca="false">C18*3600*Parameters!$C$13</f>
        <v>15741200.0702357</v>
      </c>
      <c r="H18" s="37" t="n">
        <f aca="false">G18/D18</f>
        <v>15981.3475028601</v>
      </c>
    </row>
    <row r="19" customFormat="false" ht="15" hidden="false" customHeight="true" outlineLevel="0" collapsed="false">
      <c r="B19" s="34" t="n">
        <v>14</v>
      </c>
      <c r="C19" s="35" t="n">
        <f aca="false">Parameters!$C$6*Parameters!$C$7^(B19-1)</f>
        <v>429.967964881438</v>
      </c>
      <c r="D19" s="35" t="n">
        <f aca="false">Parameters!$C$9*Parameters!$C$8^(B19-1)</f>
        <v>1191.81765377272</v>
      </c>
      <c r="E19" s="35" t="n">
        <f aca="false">C19*3600</f>
        <v>1547884.67357318</v>
      </c>
      <c r="F19" s="36" t="n">
        <f aca="false">D19/E19</f>
        <v>0.00076996540770799</v>
      </c>
      <c r="G19" s="35" t="n">
        <f aca="false">C19*3600*Parameters!$C$13</f>
        <v>18574616.0828781</v>
      </c>
      <c r="H19" s="37" t="n">
        <f aca="false">G19/D19</f>
        <v>15585.1157465908</v>
      </c>
    </row>
    <row r="20" customFormat="false" ht="15" hidden="false" customHeight="true" outlineLevel="0" collapsed="false">
      <c r="B20" s="34" t="n">
        <v>15</v>
      </c>
      <c r="C20" s="35" t="n">
        <f aca="false">Parameters!$C$6*Parameters!$C$7^(B20-1)</f>
        <v>507.362198560097</v>
      </c>
      <c r="D20" s="35" t="n">
        <f aca="false">Parameters!$C$9*Parameters!$C$8^(B20-1)</f>
        <v>1442.09936106499</v>
      </c>
      <c r="E20" s="35" t="n">
        <f aca="false">C20*3600</f>
        <v>1826503.91481635</v>
      </c>
      <c r="F20" s="36" t="n">
        <f aca="false">D20/E20</f>
        <v>0.00078954079942938</v>
      </c>
      <c r="G20" s="35" t="n">
        <f aca="false">C20*3600*Parameters!$C$13</f>
        <v>21918046.9777962</v>
      </c>
      <c r="H20" s="37" t="n">
        <f aca="false">G20/D20</f>
        <v>15198.7079181629</v>
      </c>
    </row>
    <row r="21" customFormat="false" ht="15" hidden="false" customHeight="true" outlineLevel="0" collapsed="false">
      <c r="B21" s="34" t="n">
        <v>16</v>
      </c>
      <c r="C21" s="35" t="n">
        <f aca="false">Parameters!$C$6*Parameters!$C$7^(B21-1)</f>
        <v>598.687394300914</v>
      </c>
      <c r="D21" s="35" t="n">
        <f aca="false">Parameters!$C$9*Parameters!$C$8^(B21-1)</f>
        <v>1744.94022688864</v>
      </c>
      <c r="E21" s="35" t="n">
        <f aca="false">C21*3600</f>
        <v>2155274.61948329</v>
      </c>
      <c r="F21" s="36" t="n">
        <f aca="false">D21/E21</f>
        <v>0.000809613870601313</v>
      </c>
      <c r="G21" s="35" t="n">
        <f aca="false">C21*3600*Parameters!$C$13</f>
        <v>25863295.4337995</v>
      </c>
      <c r="H21" s="37" t="n">
        <f aca="false">G21/D21</f>
        <v>14821.8804491176</v>
      </c>
    </row>
    <row r="22" customFormat="false" ht="15" hidden="false" customHeight="true" outlineLevel="0" collapsed="false">
      <c r="B22" s="34" t="n">
        <v>17</v>
      </c>
      <c r="C22" s="35" t="n">
        <f aca="false">Parameters!$C$6*Parameters!$C$7^(B22-1)</f>
        <v>706.451125275079</v>
      </c>
      <c r="D22" s="35" t="n">
        <f aca="false">Parameters!$C$9*Parameters!$C$8^(B22-1)</f>
        <v>2111.37767453525</v>
      </c>
      <c r="E22" s="35" t="n">
        <f aca="false">C22*3600</f>
        <v>2543224.05099028</v>
      </c>
      <c r="F22" s="36" t="n">
        <f aca="false">D22/E22</f>
        <v>0.000830197274091177</v>
      </c>
      <c r="G22" s="35" t="n">
        <f aca="false">C22*3600*Parameters!$C$13</f>
        <v>30518688.6118834</v>
      </c>
      <c r="H22" s="37" t="n">
        <f aca="false">G22/D22</f>
        <v>14454.3958098832</v>
      </c>
    </row>
    <row r="23" customFormat="false" ht="15" hidden="false" customHeight="true" outlineLevel="0" collapsed="false">
      <c r="B23" s="34" t="n">
        <v>18</v>
      </c>
      <c r="C23" s="35" t="n">
        <f aca="false">Parameters!$C$6*Parameters!$C$7^(B23-1)</f>
        <v>833.612327824593</v>
      </c>
      <c r="D23" s="35" t="n">
        <f aca="false">Parameters!$C$9*Parameters!$C$8^(B23-1)</f>
        <v>2554.76698618766</v>
      </c>
      <c r="E23" s="35" t="n">
        <f aca="false">C23*3600</f>
        <v>3001004.38016854</v>
      </c>
      <c r="F23" s="36" t="n">
        <f aca="false">D23/E23</f>
        <v>0.000851303984449427</v>
      </c>
      <c r="G23" s="35" t="n">
        <f aca="false">C23*3600*Parameters!$C$13</f>
        <v>36012052.5620224</v>
      </c>
      <c r="H23" s="37" t="n">
        <f aca="false">G23/D23</f>
        <v>14096.0223600514</v>
      </c>
    </row>
    <row r="24" customFormat="false" ht="15" hidden="false" customHeight="true" outlineLevel="0" collapsed="false">
      <c r="B24" s="34" t="n">
        <v>19</v>
      </c>
      <c r="C24" s="35" t="n">
        <f aca="false">Parameters!$C$6*Parameters!$C$7^(B24-1)</f>
        <v>983.66254683302</v>
      </c>
      <c r="D24" s="35" t="n">
        <f aca="false">Parameters!$C$9*Parameters!$C$8^(B24-1)</f>
        <v>3091.26805328707</v>
      </c>
      <c r="E24" s="35" t="n">
        <f aca="false">C24*3600</f>
        <v>3541185.16859887</v>
      </c>
      <c r="F24" s="36" t="n">
        <f aca="false">D24/E24</f>
        <v>0.000872947306087972</v>
      </c>
      <c r="G24" s="35" t="n">
        <f aca="false">C24*3600*Parameters!$C$13</f>
        <v>42494222.0231865</v>
      </c>
      <c r="H24" s="37" t="n">
        <f aca="false">G24/D24</f>
        <v>13746.5342023642</v>
      </c>
    </row>
    <row r="25" customFormat="false" ht="15" hidden="false" customHeight="true" outlineLevel="0" collapsed="false">
      <c r="B25" s="34" t="n">
        <v>20</v>
      </c>
      <c r="C25" s="35" t="n">
        <f aca="false">Parameters!$C$6*Parameters!$C$7^(B25-1)</f>
        <v>1160.72180526296</v>
      </c>
      <c r="D25" s="35" t="n">
        <f aca="false">Parameters!$C$9*Parameters!$C$8^(B25-1)</f>
        <v>3740.43434447735</v>
      </c>
      <c r="E25" s="35" t="n">
        <f aca="false">C25*3600</f>
        <v>4178598.49894667</v>
      </c>
      <c r="F25" s="36" t="n">
        <f aca="false">D25/E25</f>
        <v>0.00089514088166648</v>
      </c>
      <c r="G25" s="35" t="n">
        <f aca="false">C25*3600*Parameters!$C$13</f>
        <v>50143181.98736</v>
      </c>
      <c r="H25" s="37" t="n">
        <f aca="false">G25/D25</f>
        <v>13405.7110403221</v>
      </c>
    </row>
    <row r="26" customFormat="false" ht="15" hidden="false" customHeight="true" outlineLevel="0" collapsed="false">
      <c r="B26" s="34" t="n">
        <v>21</v>
      </c>
      <c r="C26" s="35" t="n">
        <f aca="false">Parameters!$C$6*Parameters!$C$7^(B26-1)</f>
        <v>1369.6517302103</v>
      </c>
      <c r="D26" s="35" t="n">
        <f aca="false">Parameters!$C$9*Parameters!$C$8^(B26-1)</f>
        <v>4525.92555681759</v>
      </c>
      <c r="E26" s="35" t="n">
        <f aca="false">C26*3600</f>
        <v>4930746.22875707</v>
      </c>
      <c r="F26" s="36" t="n">
        <f aca="false">D26/E26</f>
        <v>0.000917898700691899</v>
      </c>
      <c r="G26" s="35" t="n">
        <f aca="false">C26*3600*Parameters!$C$13</f>
        <v>59168954.7450848</v>
      </c>
      <c r="H26" s="37" t="n">
        <f aca="false">G26/D26</f>
        <v>13073.3380393224</v>
      </c>
    </row>
    <row r="27" customFormat="false" ht="15" hidden="false" customHeight="true" outlineLevel="0" collapsed="false">
      <c r="B27" s="34" t="n">
        <v>22</v>
      </c>
      <c r="C27" s="35" t="n">
        <f aca="false">Parameters!$C$6*Parameters!$C$7^(B27-1)</f>
        <v>1616.18904164815</v>
      </c>
      <c r="D27" s="35" t="n">
        <f aca="false">Parameters!$C$9*Parameters!$C$8^(B27-1)</f>
        <v>5476.36992374929</v>
      </c>
      <c r="E27" s="35" t="n">
        <f aca="false">C27*3600</f>
        <v>5818280.54993334</v>
      </c>
      <c r="F27" s="36" t="n">
        <f aca="false">D27/E27</f>
        <v>0.000941235108336608</v>
      </c>
      <c r="G27" s="35" t="n">
        <f aca="false">C27*3600*Parameters!$C$13</f>
        <v>69819366.5992001</v>
      </c>
      <c r="H27" s="37" t="n">
        <f aca="false">G27/D27</f>
        <v>12749.20569124</v>
      </c>
    </row>
    <row r="28" customFormat="false" ht="15" hidden="false" customHeight="true" outlineLevel="0" collapsed="false">
      <c r="B28" s="34" t="n">
        <v>23</v>
      </c>
      <c r="C28" s="35" t="n">
        <f aca="false">Parameters!$C$6*Parameters!$C$7^(B28-1)</f>
        <v>1907.10306914482</v>
      </c>
      <c r="D28" s="35" t="n">
        <f aca="false">Parameters!$C$9*Parameters!$C$8^(B28-1)</f>
        <v>6626.40760773664</v>
      </c>
      <c r="E28" s="35" t="n">
        <f aca="false">C28*3600</f>
        <v>6865571.04892134</v>
      </c>
      <c r="F28" s="36" t="n">
        <f aca="false">D28/E28</f>
        <v>0.000965164814480759</v>
      </c>
      <c r="G28" s="35" t="n">
        <f aca="false">C28*3600*Parameters!$C$13</f>
        <v>82386852.5870561</v>
      </c>
      <c r="H28" s="37" t="n">
        <f aca="false">G28/D28</f>
        <v>12433.1096823663</v>
      </c>
    </row>
    <row r="29" customFormat="false" ht="15" hidden="false" customHeight="true" outlineLevel="0" collapsed="false">
      <c r="B29" s="34" t="n">
        <v>24</v>
      </c>
      <c r="C29" s="35" t="n">
        <f aca="false">Parameters!$C$6*Parameters!$C$7^(B29-1)</f>
        <v>2250.38162159088</v>
      </c>
      <c r="D29" s="35" t="n">
        <f aca="false">Parameters!$C$9*Parameters!$C$8^(B29-1)</f>
        <v>8017.95320536133</v>
      </c>
      <c r="E29" s="35" t="n">
        <f aca="false">C29*3600</f>
        <v>8101373.83772718</v>
      </c>
      <c r="F29" s="36" t="n">
        <f aca="false">D29/E29</f>
        <v>0.000989702902984507</v>
      </c>
      <c r="G29" s="35" t="n">
        <f aca="false">C29*3600*Parameters!$C$13</f>
        <v>97216486.0527262</v>
      </c>
      <c r="H29" s="37" t="n">
        <f aca="false">G29/D29</f>
        <v>12124.8507646217</v>
      </c>
    </row>
    <row r="30" customFormat="false" ht="15" hidden="false" customHeight="true" outlineLevel="0" collapsed="false">
      <c r="B30" s="34" t="n">
        <v>25</v>
      </c>
      <c r="C30" s="35" t="n">
        <f aca="false">Parameters!$C$6*Parameters!$C$7^(B30-1)</f>
        <v>2655.45031347724</v>
      </c>
      <c r="D30" s="35" t="n">
        <f aca="false">Parameters!$C$9*Parameters!$C$8^(B30-1)</f>
        <v>9701.72337848721</v>
      </c>
      <c r="E30" s="35" t="n">
        <f aca="false">C30*3600</f>
        <v>9559621.12851807</v>
      </c>
      <c r="F30" s="36" t="n">
        <f aca="false">D30/E30</f>
        <v>0.00101486484119598</v>
      </c>
      <c r="G30" s="35" t="n">
        <f aca="false">C30*3600*Parameters!$C$13</f>
        <v>114715453.542217</v>
      </c>
      <c r="H30" s="37" t="n">
        <f aca="false">G30/D30</f>
        <v>11824.2346299616</v>
      </c>
    </row>
    <row r="31" customFormat="false" ht="15" hidden="false" customHeight="true" outlineLevel="0" collapsed="false">
      <c r="B31" s="34" t="n">
        <v>26</v>
      </c>
      <c r="C31" s="35" t="n">
        <f aca="false">Parameters!$C$6*Parameters!$C$7^(B31-1)</f>
        <v>3133.43136990315</v>
      </c>
      <c r="D31" s="35" t="n">
        <f aca="false">Parameters!$C$9*Parameters!$C$8^(B31-1)</f>
        <v>11739.0852879695</v>
      </c>
      <c r="E31" s="35" t="n">
        <f aca="false">C31*3600</f>
        <v>11280352.9316513</v>
      </c>
      <c r="F31" s="36" t="n">
        <f aca="false">D31/E31</f>
        <v>0.00104066648970096</v>
      </c>
      <c r="G31" s="35" t="n">
        <f aca="false">C31*3600*Parameters!$C$13</f>
        <v>135364235.179816</v>
      </c>
      <c r="H31" s="37" t="n">
        <f aca="false">G31/D31</f>
        <v>11531.0717878965</v>
      </c>
    </row>
    <row r="32" customFormat="false" ht="15" hidden="false" customHeight="true" outlineLevel="0" collapsed="false">
      <c r="B32" s="34" t="n">
        <v>27</v>
      </c>
      <c r="C32" s="35" t="n">
        <f aca="false">Parameters!$C$6*Parameters!$C$7^(B32-1)</f>
        <v>3697.44901648571</v>
      </c>
      <c r="D32" s="35" t="n">
        <f aca="false">Parameters!$C$9*Parameters!$C$8^(B32-1)</f>
        <v>14204.2931984431</v>
      </c>
      <c r="E32" s="35" t="n">
        <f aca="false">C32*3600</f>
        <v>13310816.4593486</v>
      </c>
      <c r="F32" s="36" t="n">
        <f aca="false">D32/E32</f>
        <v>0.00106712411232048</v>
      </c>
      <c r="G32" s="35" t="n">
        <f aca="false">C32*3600*Parameters!$C$13</f>
        <v>159729797.512183</v>
      </c>
      <c r="H32" s="37" t="n">
        <f aca="false">G32/D32</f>
        <v>11245.1774460478</v>
      </c>
    </row>
    <row r="33" customFormat="false" ht="15" hidden="false" customHeight="true" outlineLevel="0" collapsed="false">
      <c r="B33" s="34" t="n">
        <v>28</v>
      </c>
      <c r="C33" s="35" t="n">
        <f aca="false">Parameters!$C$6*Parameters!$C$7^(B33-1)</f>
        <v>4362.98983945314</v>
      </c>
      <c r="D33" s="35" t="n">
        <f aca="false">Parameters!$C$9*Parameters!$C$8^(B33-1)</f>
        <v>17187.1947701162</v>
      </c>
      <c r="E33" s="35" t="n">
        <f aca="false">C33*3600</f>
        <v>15706763.4220313</v>
      </c>
      <c r="F33" s="36" t="n">
        <f aca="false">D33/E33</f>
        <v>0.00109425438636252</v>
      </c>
      <c r="G33" s="35" t="n">
        <f aca="false">C33*3600*Parameters!$C$13</f>
        <v>188481161.064376</v>
      </c>
      <c r="H33" s="37" t="n">
        <f aca="false">G33/D33</f>
        <v>10966.3713936664</v>
      </c>
    </row>
    <row r="34" customFormat="false" ht="15" hidden="false" customHeight="true" outlineLevel="0" collapsed="false">
      <c r="B34" s="34" t="n">
        <v>29</v>
      </c>
      <c r="C34" s="35" t="n">
        <f aca="false">Parameters!$C$6*Parameters!$C$7^(B34-1)</f>
        <v>5148.32801055471</v>
      </c>
      <c r="D34" s="35" t="n">
        <f aca="false">Parameters!$C$9*Parameters!$C$8^(B34-1)</f>
        <v>20796.5056718406</v>
      </c>
      <c r="E34" s="35" t="n">
        <f aca="false">C34*3600</f>
        <v>18533980.8379969</v>
      </c>
      <c r="F34" s="36" t="n">
        <f aca="false">D34/E34</f>
        <v>0.00112207441313445</v>
      </c>
      <c r="G34" s="35" t="n">
        <f aca="false">C34*3600*Parameters!$C$13</f>
        <v>222407770.055963</v>
      </c>
      <c r="H34" s="37" t="n">
        <f aca="false">G34/D34</f>
        <v>10694.4778880384</v>
      </c>
    </row>
    <row r="35" customFormat="false" ht="15" hidden="false" customHeight="true" outlineLevel="0" collapsed="false">
      <c r="B35" s="34" t="n">
        <v>30</v>
      </c>
      <c r="C35" s="35" t="n">
        <f aca="false">Parameters!$C$6*Parameters!$C$7^(B35-1)</f>
        <v>6075.02705245455</v>
      </c>
      <c r="D35" s="35" t="n">
        <f aca="false">Parameters!$C$9*Parameters!$C$8^(B35-1)</f>
        <v>25163.7718629271</v>
      </c>
      <c r="E35" s="35" t="n">
        <f aca="false">C35*3600</f>
        <v>21870097.3888364</v>
      </c>
      <c r="F35" s="36" t="n">
        <f aca="false">D35/E35</f>
        <v>0.00115060172872262</v>
      </c>
      <c r="G35" s="35" t="n">
        <f aca="false">C35*3600*Parameters!$C$13</f>
        <v>262441168.666037</v>
      </c>
      <c r="H35" s="37" t="n">
        <f aca="false">G35/D35</f>
        <v>10429.3255437068</v>
      </c>
    </row>
    <row r="36" customFormat="false" ht="15" hidden="false" customHeight="true" outlineLevel="0" collapsed="false">
      <c r="B36" s="34" t="n">
        <v>31</v>
      </c>
      <c r="C36" s="35" t="n">
        <f aca="false">Parameters!$C$6*Parameters!$C$7^(B36-1)</f>
        <v>7168.53192189637</v>
      </c>
      <c r="D36" s="35" t="n">
        <f aca="false">Parameters!$C$9*Parameters!$C$8^(B36-1)</f>
        <v>30448.1639541418</v>
      </c>
      <c r="E36" s="35" t="n">
        <f aca="false">C36*3600</f>
        <v>25806714.9188269</v>
      </c>
      <c r="F36" s="36" t="n">
        <f aca="false">D36/E36</f>
        <v>0.00117985431504607</v>
      </c>
      <c r="G36" s="35" t="n">
        <f aca="false">C36*3600*Parameters!$C$13</f>
        <v>309680579.025923</v>
      </c>
      <c r="H36" s="37" t="n">
        <f aca="false">G36/D36</f>
        <v>10170.7472244414</v>
      </c>
    </row>
    <row r="37" customFormat="false" ht="15" hidden="false" customHeight="true" outlineLevel="0" collapsed="false">
      <c r="B37" s="34" t="n">
        <v>32</v>
      </c>
      <c r="C37" s="35" t="n">
        <f aca="false">Parameters!$C$6*Parameters!$C$7^(B37-1)</f>
        <v>8458.86766783772</v>
      </c>
      <c r="D37" s="35" t="n">
        <f aca="false">Parameters!$C$9*Parameters!$C$8^(B37-1)</f>
        <v>36842.2783845116</v>
      </c>
      <c r="E37" s="35" t="n">
        <f aca="false">C37*3600</f>
        <v>30451923.6042158</v>
      </c>
      <c r="F37" s="36" t="n">
        <f aca="false">D37/E37</f>
        <v>0.00120985061119131</v>
      </c>
      <c r="G37" s="35" t="n">
        <f aca="false">C37*3600*Parameters!$C$13</f>
        <v>365423083.250589</v>
      </c>
      <c r="H37" s="37" t="n">
        <f aca="false">G37/D37</f>
        <v>9918.57993788497</v>
      </c>
    </row>
    <row r="38" customFormat="false" ht="15" hidden="false" customHeight="true" outlineLevel="0" collapsed="false">
      <c r="B38" s="34" t="n">
        <v>33</v>
      </c>
      <c r="C38" s="35" t="n">
        <f aca="false">Parameters!$C$6*Parameters!$C$7^(B38-1)</f>
        <v>9981.46384804851</v>
      </c>
      <c r="D38" s="35" t="n">
        <f aca="false">Parameters!$C$9*Parameters!$C$8^(B38-1)</f>
        <v>44579.156845259</v>
      </c>
      <c r="E38" s="35" t="n">
        <f aca="false">C38*3600</f>
        <v>35933269.8529746</v>
      </c>
      <c r="F38" s="36" t="n">
        <f aca="false">D38/E38</f>
        <v>0.00124060952503516</v>
      </c>
      <c r="G38" s="35" t="n">
        <f aca="false">C38*3600*Parameters!$C$13</f>
        <v>431199238.235696</v>
      </c>
      <c r="H38" s="37" t="n">
        <f aca="false">G38/D38</f>
        <v>9672.66473281344</v>
      </c>
    </row>
    <row r="39" customFormat="false" ht="15" hidden="false" customHeight="true" outlineLevel="0" collapsed="false">
      <c r="B39" s="34" t="n">
        <v>34</v>
      </c>
      <c r="C39" s="35" t="n">
        <f aca="false">Parameters!$C$6*Parameters!$C$7^(B39-1)</f>
        <v>11778.1273406972</v>
      </c>
      <c r="D39" s="35" t="n">
        <f aca="false">Parameters!$C$9*Parameters!$C$8^(B39-1)</f>
        <v>53940.7797827634</v>
      </c>
      <c r="E39" s="35" t="n">
        <f aca="false">C39*3600</f>
        <v>42401258.4265101</v>
      </c>
      <c r="F39" s="36" t="n">
        <f aca="false">D39/E39</f>
        <v>0.00127215044516317</v>
      </c>
      <c r="G39" s="35" t="n">
        <f aca="false">C39*3600*Parameters!$C$13</f>
        <v>508815101.118121</v>
      </c>
      <c r="H39" s="37" t="n">
        <f aca="false">G39/D39</f>
        <v>9432.84659894204</v>
      </c>
    </row>
    <row r="40" customFormat="false" ht="15" hidden="false" customHeight="true" outlineLevel="0" collapsed="false">
      <c r="B40" s="34" t="n">
        <v>35</v>
      </c>
      <c r="C40" s="35" t="n">
        <f aca="false">Parameters!$C$6*Parameters!$C$7^(B40-1)</f>
        <v>13898.1902620227</v>
      </c>
      <c r="D40" s="35" t="n">
        <f aca="false">Parameters!$C$9*Parameters!$C$8^(B40-1)</f>
        <v>65268.3435371437</v>
      </c>
      <c r="E40" s="35" t="n">
        <f aca="false">C40*3600</f>
        <v>50033484.9432819</v>
      </c>
      <c r="F40" s="36" t="n">
        <f aca="false">D40/E40</f>
        <v>0.00130449325309105</v>
      </c>
      <c r="G40" s="35" t="n">
        <f aca="false">C40*3600*Parameters!$C$13</f>
        <v>600401819.319382</v>
      </c>
      <c r="H40" s="37" t="n">
        <f aca="false">G40/D40</f>
        <v>9198.9743692162</v>
      </c>
    </row>
    <row r="41" customFormat="false" ht="15" hidden="false" customHeight="true" outlineLevel="0" collapsed="false">
      <c r="B41" s="34" t="n">
        <v>36</v>
      </c>
      <c r="C41" s="35" t="n">
        <f aca="false">Parameters!$C$6*Parameters!$C$7^(B41-1)</f>
        <v>16399.8645091868</v>
      </c>
      <c r="D41" s="35" t="n">
        <f aca="false">Parameters!$C$9*Parameters!$C$8^(B41-1)</f>
        <v>78974.6956799438</v>
      </c>
      <c r="E41" s="35" t="n">
        <f aca="false">C41*3600</f>
        <v>59039512.2330726</v>
      </c>
      <c r="F41" s="36" t="n">
        <f aca="false">D41/E41</f>
        <v>0.00133765833579675</v>
      </c>
      <c r="G41" s="35" t="n">
        <f aca="false">C41*3600*Parameters!$C$13</f>
        <v>708474146.796871</v>
      </c>
      <c r="H41" s="37" t="n">
        <f aca="false">G41/D41</f>
        <v>8970.90062452489</v>
      </c>
    </row>
    <row r="42" customFormat="false" ht="15" hidden="false" customHeight="true" outlineLevel="0" collapsed="false">
      <c r="B42" s="34" t="n">
        <v>37</v>
      </c>
      <c r="C42" s="35" t="n">
        <f aca="false">Parameters!$C$6*Parameters!$C$7^(B42-1)</f>
        <v>19351.8401208405</v>
      </c>
      <c r="D42" s="35" t="n">
        <f aca="false">Parameters!$C$9*Parameters!$C$8^(B42-1)</f>
        <v>95559.381772732</v>
      </c>
      <c r="E42" s="35" t="n">
        <f aca="false">C42*3600</f>
        <v>69666624.4350257</v>
      </c>
      <c r="F42" s="36" t="n">
        <f aca="false">D42/E42</f>
        <v>0.00137166659857125</v>
      </c>
      <c r="G42" s="35" t="n">
        <f aca="false">C42*3600*Parameters!$C$13</f>
        <v>835999493.220308</v>
      </c>
      <c r="H42" s="37" t="n">
        <f aca="false">G42/D42</f>
        <v>8748.48160077634</v>
      </c>
    </row>
    <row r="43" customFormat="false" ht="15" hidden="false" customHeight="true" outlineLevel="0" collapsed="false">
      <c r="B43" s="34" t="n">
        <v>38</v>
      </c>
      <c r="C43" s="35" t="n">
        <f aca="false">Parameters!$C$6*Parameters!$C$7^(B43-1)</f>
        <v>22835.1713425917</v>
      </c>
      <c r="D43" s="35" t="n">
        <f aca="false">Parameters!$C$9*Parameters!$C$8^(B43-1)</f>
        <v>115626.851945006</v>
      </c>
      <c r="E43" s="35" t="n">
        <f aca="false">C43*3600</f>
        <v>82206616.8333303</v>
      </c>
      <c r="F43" s="36" t="n">
        <f aca="false">D43/E43</f>
        <v>0.00140653947819594</v>
      </c>
      <c r="G43" s="35" t="n">
        <f aca="false">C43*3600*Parameters!$C$13</f>
        <v>986479401.999963</v>
      </c>
      <c r="H43" s="37" t="n">
        <f aca="false">G43/D43</f>
        <v>8531.57709827775</v>
      </c>
    </row>
    <row r="44" customFormat="false" ht="15" hidden="false" customHeight="true" outlineLevel="0" collapsed="false">
      <c r="B44" s="34" t="n">
        <v>39</v>
      </c>
      <c r="C44" s="35" t="n">
        <f aca="false">Parameters!$C$6*Parameters!$C$7^(B44-1)</f>
        <v>26945.5021842583</v>
      </c>
      <c r="D44" s="35" t="n">
        <f aca="false">Parameters!$C$9*Parameters!$C$8^(B44-1)</f>
        <v>139908.490853457</v>
      </c>
      <c r="E44" s="35" t="n">
        <f aca="false">C44*3600</f>
        <v>97003807.8633297</v>
      </c>
      <c r="F44" s="36" t="n">
        <f aca="false">D44/E44</f>
        <v>0.00144229895645516</v>
      </c>
      <c r="G44" s="35" t="n">
        <f aca="false">C44*3600*Parameters!$C$13</f>
        <v>1164045694.35996</v>
      </c>
      <c r="H44" s="37" t="n">
        <f aca="false">G44/D44</f>
        <v>8320.05039336177</v>
      </c>
    </row>
    <row r="45" customFormat="false" ht="15" hidden="false" customHeight="true" outlineLevel="0" collapsed="false">
      <c r="B45" s="34" t="n">
        <v>40</v>
      </c>
      <c r="C45" s="35" t="n">
        <f aca="false">Parameters!$C$6*Parameters!$C$7^(B45-1)</f>
        <v>31795.6925774247</v>
      </c>
      <c r="D45" s="35" t="n">
        <f aca="false">Parameters!$C$9*Parameters!$C$8^(B45-1)</f>
        <v>169289.273932683</v>
      </c>
      <c r="E45" s="35" t="n">
        <f aca="false">C45*3600</f>
        <v>114464493.278729</v>
      </c>
      <c r="F45" s="36" t="n">
        <f aca="false">D45/E45</f>
        <v>0.00147896757399215</v>
      </c>
      <c r="G45" s="35" t="n">
        <f aca="false">C45*3600*Parameters!$C$13</f>
        <v>1373573919.34475</v>
      </c>
      <c r="H45" s="37" t="n">
        <f aca="false">G45/D45</f>
        <v>8113.76815220404</v>
      </c>
    </row>
    <row r="46" customFormat="false" ht="15" hidden="false" customHeight="true" outlineLevel="0" collapsed="false">
      <c r="B46" s="34" t="n">
        <v>41</v>
      </c>
      <c r="C46" s="35" t="n">
        <f aca="false">Parameters!$C$6*Parameters!$C$7^(B46-1)</f>
        <v>37518.9172413612</v>
      </c>
      <c r="D46" s="35" t="n">
        <f aca="false">Parameters!$C$9*Parameters!$C$8^(B46-1)</f>
        <v>204840.021458546</v>
      </c>
      <c r="E46" s="35" t="n">
        <f aca="false">C46*3600</f>
        <v>135068102.0689</v>
      </c>
      <c r="F46" s="36" t="n">
        <f aca="false">D46/E46</f>
        <v>0.00151656844451738</v>
      </c>
      <c r="G46" s="35" t="n">
        <f aca="false">C46*3600*Parameters!$C$13</f>
        <v>1620817224.8268</v>
      </c>
      <c r="H46" s="37" t="n">
        <f aca="false">G46/D46</f>
        <v>7912.6003467775</v>
      </c>
    </row>
    <row r="47" customFormat="false" ht="15" hidden="false" customHeight="true" outlineLevel="0" collapsed="false">
      <c r="B47" s="34" t="n">
        <v>42</v>
      </c>
      <c r="C47" s="35" t="n">
        <f aca="false">Parameters!$C$6*Parameters!$C$7^(B47-1)</f>
        <v>44272.3223448062</v>
      </c>
      <c r="D47" s="35" t="n">
        <f aca="false">Parameters!$C$9*Parameters!$C$8^(B47-1)</f>
        <v>247856.425964841</v>
      </c>
      <c r="E47" s="35" t="n">
        <f aca="false">C47*3600</f>
        <v>159380360.441302</v>
      </c>
      <c r="F47" s="36" t="n">
        <f aca="false">D47/E47</f>
        <v>0.00155512526937799</v>
      </c>
      <c r="G47" s="35" t="n">
        <f aca="false">C47*3600*Parameters!$C$13</f>
        <v>1912564325.29563</v>
      </c>
      <c r="H47" s="37" t="n">
        <f aca="false">G47/D47</f>
        <v>7716.42017289045</v>
      </c>
    </row>
    <row r="48" customFormat="false" ht="15" hidden="false" customHeight="true" outlineLevel="0" collapsed="false">
      <c r="B48" s="34" t="n">
        <v>43</v>
      </c>
      <c r="C48" s="35" t="n">
        <f aca="false">Parameters!$C$6*Parameters!$C$7^(B48-1)</f>
        <v>52241.3403668713</v>
      </c>
      <c r="D48" s="35" t="n">
        <f aca="false">Parameters!$C$9*Parameters!$C$8^(B48-1)</f>
        <v>299906.275417458</v>
      </c>
      <c r="E48" s="35" t="n">
        <f aca="false">C48*3600</f>
        <v>188068825.320737</v>
      </c>
      <c r="F48" s="36" t="n">
        <f aca="false">D48/E48</f>
        <v>0.00159466235249777</v>
      </c>
      <c r="G48" s="35" t="n">
        <f aca="false">C48*3600*Parameters!$C$13</f>
        <v>2256825903.84884</v>
      </c>
      <c r="H48" s="37" t="n">
        <f aca="false">G48/D48</f>
        <v>7525.1039702568</v>
      </c>
    </row>
    <row r="49" customFormat="false" ht="15" hidden="false" customHeight="true" outlineLevel="0" collapsed="false">
      <c r="B49" s="34" t="n">
        <v>44</v>
      </c>
      <c r="C49" s="35" t="n">
        <f aca="false">Parameters!$C$6*Parameters!$C$7^(B49-1)</f>
        <v>61644.7816329081</v>
      </c>
      <c r="D49" s="35" t="n">
        <f aca="false">Parameters!$C$9*Parameters!$C$8^(B49-1)</f>
        <v>362886.593255124</v>
      </c>
      <c r="E49" s="35" t="n">
        <f aca="false">C49*3600</f>
        <v>221921213.878469</v>
      </c>
      <c r="F49" s="36" t="n">
        <f aca="false">D49/E49</f>
        <v>0.00163520461569686</v>
      </c>
      <c r="G49" s="35" t="n">
        <f aca="false">C49*3600*Parameters!$C$13</f>
        <v>2663054566.54163</v>
      </c>
      <c r="H49" s="37" t="n">
        <f aca="false">G49/D49</f>
        <v>7338.53114454795</v>
      </c>
    </row>
    <row r="50" customFormat="false" ht="15" hidden="false" customHeight="true" outlineLevel="0" collapsed="false">
      <c r="B50" s="34" t="n">
        <v>45</v>
      </c>
      <c r="C50" s="35" t="n">
        <f aca="false">Parameters!$C$6*Parameters!$C$7^(B50-1)</f>
        <v>72740.8423268316</v>
      </c>
      <c r="D50" s="35" t="n">
        <f aca="false">Parameters!$C$9*Parameters!$C$8^(B50-1)</f>
        <v>439092.7778387</v>
      </c>
      <c r="E50" s="35" t="n">
        <f aca="false">C50*3600</f>
        <v>261867032.376594</v>
      </c>
      <c r="F50" s="36" t="n">
        <f aca="false">D50/E50</f>
        <v>0.00167677761440102</v>
      </c>
      <c r="G50" s="35" t="n">
        <f aca="false">C50*3600*Parameters!$C$13</f>
        <v>3142404388.51913</v>
      </c>
      <c r="H50" s="37" t="n">
        <f aca="false">G50/D50</f>
        <v>7156.58409137734</v>
      </c>
    </row>
    <row r="51" customFormat="false" ht="15" hidden="false" customHeight="true" outlineLevel="0" collapsed="false">
      <c r="B51" s="34" t="n">
        <v>46</v>
      </c>
      <c r="C51" s="35" t="n">
        <f aca="false">Parameters!$C$6*Parameters!$C$7^(B51-1)</f>
        <v>85834.1939456613</v>
      </c>
      <c r="D51" s="35" t="n">
        <f aca="false">Parameters!$C$9*Parameters!$C$8^(B51-1)</f>
        <v>531302.261184827</v>
      </c>
      <c r="E51" s="35" t="n">
        <f aca="false">C51*3600</f>
        <v>309003098.204381</v>
      </c>
      <c r="F51" s="36" t="n">
        <f aca="false">D51/E51</f>
        <v>0.0017194075537502</v>
      </c>
      <c r="G51" s="35" t="n">
        <f aca="false">C51*3600*Parameters!$C$13</f>
        <v>3708037178.45257</v>
      </c>
      <c r="H51" s="37" t="n">
        <f aca="false">G51/D51</f>
        <v>6979.14812216964</v>
      </c>
    </row>
    <row r="52" customFormat="false" ht="15" hidden="false" customHeight="true" outlineLevel="0" collapsed="false">
      <c r="B52" s="34" t="n">
        <v>47</v>
      </c>
      <c r="C52" s="35" t="n">
        <f aca="false">Parameters!$C$6*Parameters!$C$7^(B52-1)</f>
        <v>101284.34885588</v>
      </c>
      <c r="D52" s="35" t="n">
        <f aca="false">Parameters!$C$9*Parameters!$C$8^(B52-1)</f>
        <v>642875.73603364</v>
      </c>
      <c r="E52" s="35" t="n">
        <f aca="false">C52*3600</f>
        <v>364623655.881169</v>
      </c>
      <c r="F52" s="36" t="n">
        <f aca="false">D52/E52</f>
        <v>0.00176312130511673</v>
      </c>
      <c r="G52" s="35" t="n">
        <f aca="false">C52*3600*Parameters!$C$13</f>
        <v>4375483870.57403</v>
      </c>
      <c r="H52" s="37" t="n">
        <f aca="false">G52/D52</f>
        <v>6806.11139186792</v>
      </c>
    </row>
    <row r="53" customFormat="false" ht="15" hidden="false" customHeight="true" outlineLevel="0" collapsed="false">
      <c r="B53" s="34" t="n">
        <v>48</v>
      </c>
      <c r="C53" s="35" t="n">
        <f aca="false">Parameters!$C$6*Parameters!$C$7^(B53-1)</f>
        <v>119515.531649939</v>
      </c>
      <c r="D53" s="35" t="n">
        <f aca="false">Parameters!$C$9*Parameters!$C$8^(B53-1)</f>
        <v>777879.640600705</v>
      </c>
      <c r="E53" s="35" t="n">
        <f aca="false">C53*3600</f>
        <v>430255913.93978</v>
      </c>
      <c r="F53" s="36" t="n">
        <f aca="false">D53/E53</f>
        <v>0.00180794642304343</v>
      </c>
      <c r="G53" s="35" t="n">
        <f aca="false">C53*3600*Parameters!$C$13</f>
        <v>5163070967.27736</v>
      </c>
      <c r="H53" s="37" t="n">
        <f aca="false">G53/D53</f>
        <v>6637.36482843317</v>
      </c>
    </row>
    <row r="54" customFormat="false" ht="15" hidden="false" customHeight="true" outlineLevel="0" collapsed="false">
      <c r="B54" s="34" t="n">
        <v>49</v>
      </c>
      <c r="C54" s="35" t="n">
        <f aca="false">Parameters!$C$6*Parameters!$C$7^(B54-1)</f>
        <v>141028.327346928</v>
      </c>
      <c r="D54" s="35" t="n">
        <f aca="false">Parameters!$C$9*Parameters!$C$8^(B54-1)</f>
        <v>941234.365126853</v>
      </c>
      <c r="E54" s="35" t="n">
        <f aca="false">C54*3600</f>
        <v>507701978.44894</v>
      </c>
      <c r="F54" s="36" t="n">
        <f aca="false">D54/E54</f>
        <v>0.00185391116261233</v>
      </c>
      <c r="G54" s="35" t="n">
        <f aca="false">C54*3600*Parameters!$C$13</f>
        <v>6092423741.38728</v>
      </c>
      <c r="H54" s="37" t="n">
        <f aca="false">G54/D54</f>
        <v>6472.80206409186</v>
      </c>
    </row>
    <row r="55" customFormat="false" ht="15" hidden="false" customHeight="true" outlineLevel="0" collapsed="false">
      <c r="B55" s="34" t="n">
        <v>50</v>
      </c>
      <c r="C55" s="35" t="n">
        <f aca="false">Parameters!$C$6*Parameters!$C$7^(B55-1)</f>
        <v>166413.426269375</v>
      </c>
      <c r="D55" s="35" t="n">
        <f aca="false">Parameters!$C$9*Parameters!$C$8^(B55-1)</f>
        <v>1138893.58180349</v>
      </c>
      <c r="E55" s="35" t="n">
        <f aca="false">C55*3600</f>
        <v>599088334.569749</v>
      </c>
      <c r="F55" s="36" t="n">
        <f aca="false">D55/E55</f>
        <v>0.00190104449725501</v>
      </c>
      <c r="G55" s="35" t="n">
        <f aca="false">C55*3600*Parameters!$C$13</f>
        <v>7189060014.83699</v>
      </c>
      <c r="H55" s="37" t="n">
        <f aca="false">G55/D55</f>
        <v>6312.31936828792</v>
      </c>
    </row>
    <row r="56" customFormat="false" ht="15" hidden="false" customHeight="true" outlineLevel="0" collapsed="false">
      <c r="B56" s="34" t="n">
        <v>51</v>
      </c>
      <c r="C56" s="35" t="n">
        <f aca="false">Parameters!$C$6*Parameters!$C$7^(B56-1)</f>
        <v>196367.842997862</v>
      </c>
      <c r="D56" s="35" t="n">
        <f aca="false">Parameters!$C$9*Parameters!$C$8^(B56-1)</f>
        <v>1378061.23398223</v>
      </c>
      <c r="E56" s="35" t="n">
        <f aca="false">C56*3600</f>
        <v>706924234.792304</v>
      </c>
      <c r="F56" s="36" t="n">
        <f aca="false">D56/E56</f>
        <v>0.00194937613701573</v>
      </c>
      <c r="G56" s="35" t="n">
        <f aca="false">C56*3600*Parameters!$C$13</f>
        <v>8483090817.50765</v>
      </c>
      <c r="H56" s="37" t="n">
        <f aca="false">G56/D56</f>
        <v>6155.81558229731</v>
      </c>
    </row>
    <row r="57" customFormat="false" ht="15" hidden="false" customHeight="true" outlineLevel="0" collapsed="false">
      <c r="B57" s="34" t="n">
        <v>52</v>
      </c>
      <c r="C57" s="35" t="n">
        <f aca="false">Parameters!$C$6*Parameters!$C$7^(B57-1)</f>
        <v>231714.054737477</v>
      </c>
      <c r="D57" s="35" t="n">
        <f aca="false">Parameters!$C$9*Parameters!$C$8^(B57-1)</f>
        <v>1667454.09311849</v>
      </c>
      <c r="E57" s="35" t="n">
        <f aca="false">C57*3600</f>
        <v>834170597.054918</v>
      </c>
      <c r="F57" s="36" t="n">
        <f aca="false">D57/E57</f>
        <v>0.00199893654727885</v>
      </c>
      <c r="G57" s="35" t="n">
        <f aca="false">C57*3600*Parameters!$C$13</f>
        <v>10010047164.659</v>
      </c>
      <c r="H57" s="37" t="n">
        <f aca="false">G57/D57</f>
        <v>6003.1920554635</v>
      </c>
    </row>
    <row r="58" customFormat="false" ht="15" hidden="false" customHeight="true" outlineLevel="0" collapsed="false">
      <c r="B58" s="34" t="n">
        <v>53</v>
      </c>
      <c r="C58" s="35" t="n">
        <f aca="false">Parameters!$C$6*Parameters!$C$7^(B58-1)</f>
        <v>273422.584590223</v>
      </c>
      <c r="D58" s="35" t="n">
        <f aca="false">Parameters!$C$9*Parameters!$C$8^(B58-1)</f>
        <v>2017619.45267338</v>
      </c>
      <c r="E58" s="35" t="n">
        <f aca="false">C58*3600</f>
        <v>984321304.524804</v>
      </c>
      <c r="F58" s="36" t="n">
        <f aca="false">D58/E58</f>
        <v>0.00204975696797238</v>
      </c>
      <c r="G58" s="35" t="n">
        <f aca="false">C58*3600*Parameters!$C$13</f>
        <v>11811855654.2976</v>
      </c>
      <c r="H58" s="37" t="n">
        <f aca="false">G58/D58</f>
        <v>5854.35258301399</v>
      </c>
    </row>
    <row r="59" customFormat="false" ht="15" hidden="false" customHeight="true" outlineLevel="0" collapsed="false">
      <c r="B59" s="34" t="n">
        <v>54</v>
      </c>
      <c r="C59" s="35" t="n">
        <f aca="false">Parameters!$C$6*Parameters!$C$7^(B59-1)</f>
        <v>322638.649816463</v>
      </c>
      <c r="D59" s="35" t="n">
        <f aca="false">Parameters!$C$9*Parameters!$C$8^(B59-1)</f>
        <v>2441319.53773478</v>
      </c>
      <c r="E59" s="35" t="n">
        <f aca="false">C59*3600</f>
        <v>1161499139.33927</v>
      </c>
      <c r="F59" s="36" t="n">
        <f aca="false">D59/E59</f>
        <v>0.00210186943325981</v>
      </c>
      <c r="G59" s="35" t="n">
        <f aca="false">C59*3600*Parameters!$C$13</f>
        <v>13937989672.0712</v>
      </c>
      <c r="H59" s="37" t="n">
        <f aca="false">G59/D59</f>
        <v>5709.2033454186</v>
      </c>
    </row>
    <row r="60" customFormat="false" ht="15" hidden="false" customHeight="true" outlineLevel="0" collapsed="false">
      <c r="B60" s="34" t="n">
        <v>55</v>
      </c>
      <c r="C60" s="35" t="n">
        <f aca="false">Parameters!$C$6*Parameters!$C$7^(B60-1)</f>
        <v>380713.606783427</v>
      </c>
      <c r="D60" s="35" t="n">
        <f aca="false">Parameters!$C$9*Parameters!$C$8^(B60-1)</f>
        <v>2953996.64065909</v>
      </c>
      <c r="E60" s="35" t="n">
        <f aca="false">C60*3600</f>
        <v>1370568984.42034</v>
      </c>
      <c r="F60" s="36" t="n">
        <f aca="false">D60/E60</f>
        <v>0.00215530679173252</v>
      </c>
      <c r="G60" s="35" t="n">
        <f aca="false">C60*3600*Parameters!$C$13</f>
        <v>16446827813.044</v>
      </c>
      <c r="H60" s="37" t="n">
        <f aca="false">G60/D60</f>
        <v>5567.6528492512</v>
      </c>
    </row>
    <row r="61" customFormat="false" ht="15" hidden="false" customHeight="true" outlineLevel="0" collapsed="false">
      <c r="B61" s="34" t="n">
        <v>56</v>
      </c>
      <c r="C61" s="35" t="n">
        <f aca="false">Parameters!$C$6*Parameters!$C$7^(B61-1)</f>
        <v>449242.056004444</v>
      </c>
      <c r="D61" s="35" t="n">
        <f aca="false">Parameters!$C$9*Parameters!$C$8^(B61-1)</f>
        <v>3574335.9351975</v>
      </c>
      <c r="E61" s="35" t="n">
        <f aca="false">C61*3600</f>
        <v>1617271401.616</v>
      </c>
      <c r="F61" s="36" t="n">
        <f aca="false">D61/E61</f>
        <v>0.00221010272711555</v>
      </c>
      <c r="G61" s="35" t="n">
        <f aca="false">C61*3600*Parameters!$C$13</f>
        <v>19407256819.392</v>
      </c>
      <c r="H61" s="37" t="n">
        <f aca="false">G61/D61</f>
        <v>5429.61186951769</v>
      </c>
    </row>
    <row r="62" customFormat="false" ht="15" hidden="false" customHeight="true" outlineLevel="0" collapsed="false">
      <c r="B62" s="34" t="n">
        <v>57</v>
      </c>
      <c r="C62" s="35" t="n">
        <f aca="false">Parameters!$C$6*Parameters!$C$7^(B62-1)</f>
        <v>530105.626085243</v>
      </c>
      <c r="D62" s="35" t="n">
        <f aca="false">Parameters!$C$9*Parameters!$C$8^(B62-1)</f>
        <v>4324946.48158897</v>
      </c>
      <c r="E62" s="35" t="n">
        <f aca="false">C62*3600</f>
        <v>1908380253.90688</v>
      </c>
      <c r="F62" s="36" t="n">
        <f aca="false">D62/E62</f>
        <v>0.00226629177949984</v>
      </c>
      <c r="G62" s="35" t="n">
        <f aca="false">C62*3600*Parameters!$C$13</f>
        <v>22900563046.8825</v>
      </c>
      <c r="H62" s="37" t="n">
        <f aca="false">G62/D62</f>
        <v>5294.99339341395</v>
      </c>
    </row>
    <row r="63" customFormat="false" ht="15" hidden="false" customHeight="true" outlineLevel="0" collapsed="false">
      <c r="B63" s="34" t="n">
        <v>58</v>
      </c>
      <c r="C63" s="35" t="n">
        <f aca="false">Parameters!$C$6*Parameters!$C$7^(B63-1)</f>
        <v>625524.638780587</v>
      </c>
      <c r="D63" s="35" t="n">
        <f aca="false">Parameters!$C$9*Parameters!$C$8^(B63-1)</f>
        <v>5233185.24272266</v>
      </c>
      <c r="E63" s="35" t="n">
        <f aca="false">C63*3600</f>
        <v>2251888699.61011</v>
      </c>
      <c r="F63" s="36" t="n">
        <f aca="false">D63/E63</f>
        <v>0.00232390936711424</v>
      </c>
      <c r="G63" s="35" t="n">
        <f aca="false">C63*3600*Parameters!$C$13</f>
        <v>27022664395.3214</v>
      </c>
      <c r="H63" s="37" t="n">
        <f aca="false">G63/D63</f>
        <v>5163.71256547807</v>
      </c>
    </row>
    <row r="64" customFormat="false" ht="15" hidden="false" customHeight="true" outlineLevel="0" collapsed="false">
      <c r="B64" s="34" t="n">
        <v>59</v>
      </c>
      <c r="C64" s="35" t="n">
        <f aca="false">Parameters!$C$6*Parameters!$C$7^(B64-1)</f>
        <v>738119.073761093</v>
      </c>
      <c r="D64" s="35" t="n">
        <f aca="false">Parameters!$C$9*Parameters!$C$8^(B64-1)</f>
        <v>6332154.14369441</v>
      </c>
      <c r="E64" s="35" t="n">
        <f aca="false">C64*3600</f>
        <v>2657228665.53993</v>
      </c>
      <c r="F64" s="36" t="n">
        <f aca="false">D64/E64</f>
        <v>0.00238299180865105</v>
      </c>
      <c r="G64" s="35" t="n">
        <f aca="false">C64*3600*Parameters!$C$13</f>
        <v>31886743986.4792</v>
      </c>
      <c r="H64" s="37" t="n">
        <f aca="false">G64/D64</f>
        <v>5035.68663410258</v>
      </c>
    </row>
    <row r="65" customFormat="false" ht="15" hidden="false" customHeight="true" outlineLevel="0" collapsed="false">
      <c r="B65" s="34" t="n">
        <v>60</v>
      </c>
      <c r="C65" s="35" t="n">
        <f aca="false">Parameters!$C$6*Parameters!$C$7^(B65-1)</f>
        <v>870980.507038089</v>
      </c>
      <c r="D65" s="35" t="n">
        <f aca="false">Parameters!$C$9*Parameters!$C$8^(B65-1)</f>
        <v>7661906.51387024</v>
      </c>
      <c r="E65" s="35" t="n">
        <f aca="false">C65*3600</f>
        <v>3135529825.33712</v>
      </c>
      <c r="F65" s="36" t="n">
        <f aca="false">D65/E65</f>
        <v>0.00244357634615912</v>
      </c>
      <c r="G65" s="35" t="n">
        <f aca="false">C65*3600*Parameters!$C$13</f>
        <v>37626357904.0455</v>
      </c>
      <c r="H65" s="37" t="n">
        <f aca="false">G65/D65</f>
        <v>4910.83489937276</v>
      </c>
    </row>
    <row r="67" customFormat="false" ht="19.5" hidden="false" customHeight="true" outlineLevel="0" collapsed="false">
      <c r="A67" s="16" t="s">
        <v>115</v>
      </c>
      <c r="B67" s="16"/>
      <c r="C67" s="16"/>
      <c r="D67" s="16"/>
      <c r="E67" s="16"/>
      <c r="F67" s="16"/>
      <c r="G67" s="16"/>
      <c r="H67" s="16"/>
    </row>
    <row r="68" customFormat="false" ht="30" hidden="false" customHeight="true" outlineLevel="0" collapsed="false">
      <c r="B68" s="38" t="s">
        <v>116</v>
      </c>
      <c r="C68" s="7" t="str">
        <f aca="false">"At level 1, an upgrade costs "&amp;TEXT(D6,"$#,##0")&amp;" and is affordable in "&amp;TEXT(F6,"0.0")&amp;" hrs of income."</f>
        <v>At level 1, an upgrade costs $100 and is affordable in 0.0 hrs of income.</v>
      </c>
      <c r="D68" s="7"/>
      <c r="E68" s="7"/>
      <c r="F68" s="7"/>
      <c r="G68" s="7"/>
      <c r="H68" s="7"/>
    </row>
    <row r="69" customFormat="false" ht="30" hidden="false" customHeight="true" outlineLevel="0" collapsed="false">
      <c r="B69" s="38" t="s">
        <v>117</v>
      </c>
      <c r="C69" s="7" t="str">
        <f aca="false">"By level "&amp;B65&amp;", the offline cash buffer is "&amp;TEXT(H65,"0.0")&amp;"x the next upgrade cost — players sit on idle cash."</f>
        <v>By level 60, the offline cash buffer is 4910.8x the next upgrade cost — players sit on idle cash.</v>
      </c>
      <c r="D69" s="7"/>
      <c r="E69" s="7"/>
      <c r="F69" s="7"/>
      <c r="G69" s="7"/>
      <c r="H69" s="7"/>
    </row>
    <row r="70" customFormat="false" ht="30" hidden="false" customHeight="true" outlineLevel="0" collapsed="false">
      <c r="B70" s="38" t="s">
        <v>118</v>
      </c>
      <c r="C70" s="7" t="s">
        <v>119</v>
      </c>
      <c r="D70" s="7"/>
      <c r="E70" s="7"/>
      <c r="F70" s="7"/>
      <c r="G70" s="7"/>
      <c r="H70" s="7"/>
    </row>
  </sheetData>
  <mergeCells count="7">
    <mergeCell ref="A2:H2"/>
    <mergeCell ref="A3:H3"/>
    <mergeCell ref="A4:H4"/>
    <mergeCell ref="A67:H67"/>
    <mergeCell ref="C68:H68"/>
    <mergeCell ref="C69:H69"/>
    <mergeCell ref="C70:H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2: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4" min="3" style="1" width="18"/>
    <col collapsed="false" customWidth="true" hidden="false" outlineLevel="0" max="5" min="5" style="1" width="44"/>
    <col collapsed="false" customWidth="true" hidden="false" outlineLevel="0" max="6" min="6" style="1" width="2"/>
  </cols>
  <sheetData>
    <row r="2" customFormat="false" ht="27.75" hidden="false" customHeight="true" outlineLevel="0" collapsed="false">
      <c r="A2" s="14" t="s">
        <v>120</v>
      </c>
      <c r="B2" s="14"/>
      <c r="C2" s="14"/>
      <c r="D2" s="14"/>
      <c r="E2" s="14"/>
    </row>
    <row r="3" customFormat="false" ht="15" hidden="false" customHeight="true" outlineLevel="0" collapsed="false">
      <c r="A3" s="15" t="s">
        <v>121</v>
      </c>
      <c r="B3" s="15"/>
      <c r="C3" s="15"/>
      <c r="D3" s="15"/>
      <c r="E3" s="15"/>
    </row>
    <row r="4" customFormat="false" ht="19.5" hidden="false" customHeight="true" outlineLevel="0" collapsed="false">
      <c r="A4" s="16" t="s">
        <v>122</v>
      </c>
      <c r="B4" s="16"/>
      <c r="C4" s="16"/>
      <c r="D4" s="16"/>
      <c r="E4" s="16"/>
    </row>
    <row r="5" customFormat="false" ht="15" hidden="false" customHeight="true" outlineLevel="0" collapsed="false">
      <c r="B5" s="5" t="s">
        <v>123</v>
      </c>
      <c r="C5" s="5"/>
      <c r="D5" s="5"/>
      <c r="E5" s="5"/>
    </row>
    <row r="6" customFormat="false" ht="15" hidden="false" customHeight="true" outlineLevel="0" collapsed="false">
      <c r="B6" s="5"/>
      <c r="C6" s="5"/>
      <c r="D6" s="5"/>
      <c r="E6" s="5"/>
    </row>
    <row r="7" customFormat="false" ht="15" hidden="false" customHeight="true" outlineLevel="0" collapsed="false">
      <c r="B7" s="5"/>
      <c r="C7" s="5"/>
      <c r="D7" s="5"/>
      <c r="E7" s="5"/>
    </row>
    <row r="8" customFormat="false" ht="15" hidden="false" customHeight="true" outlineLevel="0" collapsed="false">
      <c r="B8" s="5"/>
      <c r="C8" s="5"/>
      <c r="D8" s="5"/>
      <c r="E8" s="5"/>
    </row>
    <row r="10" customFormat="false" ht="19.5" hidden="false" customHeight="true" outlineLevel="0" collapsed="false">
      <c r="A10" s="16" t="s">
        <v>124</v>
      </c>
      <c r="B10" s="16"/>
      <c r="C10" s="16"/>
      <c r="D10" s="16"/>
      <c r="E10" s="16"/>
    </row>
    <row r="11" customFormat="false" ht="15" hidden="false" customHeight="true" outlineLevel="0" collapsed="false">
      <c r="B11" s="39" t="s">
        <v>125</v>
      </c>
      <c r="C11" s="40" t="s">
        <v>29</v>
      </c>
      <c r="D11" s="40" t="s">
        <v>30</v>
      </c>
      <c r="E11" s="39" t="s">
        <v>126</v>
      </c>
    </row>
    <row r="12" customFormat="false" ht="21.75" hidden="false" customHeight="true" outlineLevel="0" collapsed="false">
      <c r="B12" s="19" t="s">
        <v>127</v>
      </c>
      <c r="C12" s="41" t="n">
        <f aca="false">'Baseline Economy'!C35</f>
        <v>6075.02705245455</v>
      </c>
      <c r="D12" s="21" t="s">
        <v>33</v>
      </c>
      <c r="E12" s="22" t="s">
        <v>128</v>
      </c>
    </row>
    <row r="13" customFormat="false" ht="21.75" hidden="false" customHeight="true" outlineLevel="0" collapsed="false">
      <c r="B13" s="19" t="s">
        <v>129</v>
      </c>
      <c r="C13" s="41" t="n">
        <f aca="false">'Baseline Economy'!G35</f>
        <v>262441168.666037</v>
      </c>
      <c r="D13" s="21" t="s">
        <v>41</v>
      </c>
      <c r="E13" s="22" t="s">
        <v>130</v>
      </c>
    </row>
    <row r="14" customFormat="false" ht="21.75" hidden="false" customHeight="true" outlineLevel="0" collapsed="false">
      <c r="B14" s="19" t="s">
        <v>131</v>
      </c>
      <c r="C14" s="42" t="n">
        <f aca="false">C13*Parameters!$C$32</f>
        <v>104976467.466415</v>
      </c>
      <c r="D14" s="21" t="s">
        <v>41</v>
      </c>
      <c r="E14" s="22" t="s">
        <v>132</v>
      </c>
    </row>
    <row r="15" customFormat="false" ht="21.75" hidden="false" customHeight="true" outlineLevel="0" collapsed="false">
      <c r="B15" s="19" t="s">
        <v>133</v>
      </c>
      <c r="C15" s="43" t="n">
        <f aca="false">Parameters!$C$33</f>
        <v>4</v>
      </c>
      <c r="D15" s="21" t="s">
        <v>53</v>
      </c>
      <c r="E15" s="22" t="s">
        <v>134</v>
      </c>
    </row>
    <row r="16" customFormat="false" ht="21.75" hidden="false" customHeight="true" outlineLevel="0" collapsed="false">
      <c r="B16" s="19" t="s">
        <v>135</v>
      </c>
      <c r="C16" s="42" t="n">
        <f aca="false">C12*Parameters!$C$34</f>
        <v>9112.54057868183</v>
      </c>
      <c r="D16" s="21" t="s">
        <v>33</v>
      </c>
      <c r="E16" s="22" t="s">
        <v>136</v>
      </c>
    </row>
    <row r="17" customFormat="false" ht="21.75" hidden="false" customHeight="true" outlineLevel="0" collapsed="false">
      <c r="B17" s="19" t="s">
        <v>137</v>
      </c>
      <c r="C17" s="42" t="n">
        <f aca="false">(C16-C12)*3600*C15</f>
        <v>43740194.7776728</v>
      </c>
      <c r="D17" s="21" t="s">
        <v>41</v>
      </c>
      <c r="E17" s="22" t="s">
        <v>138</v>
      </c>
    </row>
    <row r="18" customFormat="false" ht="21.75" hidden="false" customHeight="true" outlineLevel="0" collapsed="false">
      <c r="B18" s="19" t="s">
        <v>139</v>
      </c>
      <c r="C18" s="42" t="n">
        <f aca="false">C14*Parameters!$C$35</f>
        <v>10497646.7466415</v>
      </c>
      <c r="D18" s="21" t="s">
        <v>41</v>
      </c>
      <c r="E18" s="22" t="s">
        <v>140</v>
      </c>
    </row>
    <row r="19" customFormat="false" ht="21.75" hidden="false" customHeight="true" outlineLevel="0" collapsed="false">
      <c r="B19" s="19" t="s">
        <v>141</v>
      </c>
      <c r="C19" s="42" t="n">
        <f aca="false">C17+C18</f>
        <v>54237841.5243142</v>
      </c>
      <c r="D19" s="21" t="s">
        <v>41</v>
      </c>
      <c r="E19" s="22" t="s">
        <v>142</v>
      </c>
    </row>
    <row r="20" customFormat="false" ht="21.75" hidden="false" customHeight="true" outlineLevel="0" collapsed="false">
      <c r="B20" s="19" t="s">
        <v>143</v>
      </c>
      <c r="C20" s="44" t="n">
        <f aca="false">C17/(C12*3600*C15)</f>
        <v>0.5</v>
      </c>
      <c r="D20" s="21" t="s">
        <v>60</v>
      </c>
      <c r="E20" s="22" t="s">
        <v>144</v>
      </c>
    </row>
    <row r="22" customFormat="false" ht="19.5" hidden="false" customHeight="true" outlineLevel="0" collapsed="false">
      <c r="A22" s="16" t="s">
        <v>145</v>
      </c>
      <c r="B22" s="16"/>
      <c r="C22" s="16"/>
      <c r="D22" s="16"/>
      <c r="E22" s="16"/>
    </row>
    <row r="23" customFormat="false" ht="15" hidden="false" customHeight="true" outlineLevel="0" collapsed="false">
      <c r="B23" s="39" t="s">
        <v>146</v>
      </c>
      <c r="C23" s="40" t="s">
        <v>29</v>
      </c>
      <c r="D23" s="40" t="s">
        <v>30</v>
      </c>
      <c r="E23" s="39" t="s">
        <v>126</v>
      </c>
    </row>
    <row r="24" customFormat="false" ht="21.75" hidden="false" customHeight="true" outlineLevel="0" collapsed="false">
      <c r="B24" s="19" t="s">
        <v>147</v>
      </c>
      <c r="C24" s="42" t="n">
        <f aca="false">Parameters!$C$17*Parameters!$C$39</f>
        <v>90000</v>
      </c>
      <c r="D24" s="21" t="s">
        <v>57</v>
      </c>
      <c r="E24" s="22" t="s">
        <v>148</v>
      </c>
    </row>
    <row r="25" customFormat="false" ht="21.75" hidden="false" customHeight="true" outlineLevel="0" collapsed="false">
      <c r="B25" s="19" t="s">
        <v>149</v>
      </c>
      <c r="C25" s="45" t="n">
        <v>0.08</v>
      </c>
      <c r="D25" s="21" t="s">
        <v>60</v>
      </c>
      <c r="E25" s="22" t="s">
        <v>150</v>
      </c>
    </row>
    <row r="26" customFormat="false" ht="21.75" hidden="false" customHeight="true" outlineLevel="0" collapsed="false">
      <c r="B26" s="19" t="s">
        <v>151</v>
      </c>
      <c r="C26" s="46" t="n">
        <f aca="false">Parameters!$C$36</f>
        <v>25</v>
      </c>
      <c r="D26" s="21" t="s">
        <v>90</v>
      </c>
      <c r="E26" s="22" t="s">
        <v>152</v>
      </c>
    </row>
    <row r="27" customFormat="false" ht="21.75" hidden="false" customHeight="true" outlineLevel="0" collapsed="false">
      <c r="B27" s="19" t="s">
        <v>153</v>
      </c>
      <c r="C27" s="42" t="n">
        <f aca="false">C24*C25*C26</f>
        <v>180000</v>
      </c>
      <c r="D27" s="21" t="s">
        <v>90</v>
      </c>
      <c r="E27" s="22" t="s">
        <v>154</v>
      </c>
    </row>
    <row r="28" customFormat="false" ht="21.75" hidden="false" customHeight="true" outlineLevel="0" collapsed="false">
      <c r="B28" s="19" t="s">
        <v>155</v>
      </c>
      <c r="C28" s="47" t="n">
        <f aca="false">C27*Parameters!$C$43</f>
        <v>1800</v>
      </c>
      <c r="D28" s="21" t="s">
        <v>41</v>
      </c>
      <c r="E28" s="22" t="s">
        <v>156</v>
      </c>
    </row>
    <row r="29" customFormat="false" ht="21.75" hidden="false" customHeight="true" outlineLevel="0" collapsed="false">
      <c r="B29" s="19" t="s">
        <v>157</v>
      </c>
      <c r="C29" s="48" t="n">
        <f aca="false">C28/Parameters!$C$17</f>
        <v>0.009</v>
      </c>
      <c r="D29" s="21" t="s">
        <v>41</v>
      </c>
      <c r="E29" s="22" t="s">
        <v>158</v>
      </c>
    </row>
    <row r="31" customFormat="false" ht="19.5" hidden="false" customHeight="true" outlineLevel="0" collapsed="false">
      <c r="A31" s="16" t="s">
        <v>159</v>
      </c>
      <c r="B31" s="16"/>
      <c r="C31" s="16"/>
      <c r="D31" s="16"/>
      <c r="E31" s="16"/>
    </row>
    <row r="32" customFormat="false" ht="24" hidden="false" customHeight="true" outlineLevel="0" collapsed="false">
      <c r="B32" s="49" t="s">
        <v>160</v>
      </c>
      <c r="C32" s="50" t="s">
        <v>161</v>
      </c>
      <c r="D32" s="50"/>
      <c r="E32" s="50"/>
    </row>
    <row r="33" customFormat="false" ht="24" hidden="false" customHeight="true" outlineLevel="0" collapsed="false">
      <c r="B33" s="49" t="s">
        <v>160</v>
      </c>
      <c r="C33" s="50" t="s">
        <v>162</v>
      </c>
      <c r="D33" s="50"/>
      <c r="E33" s="50"/>
    </row>
    <row r="34" customFormat="false" ht="24" hidden="false" customHeight="true" outlineLevel="0" collapsed="false">
      <c r="B34" s="49" t="s">
        <v>160</v>
      </c>
      <c r="C34" s="50" t="s">
        <v>163</v>
      </c>
      <c r="D34" s="50"/>
      <c r="E34" s="50"/>
    </row>
    <row r="35" customFormat="false" ht="24" hidden="false" customHeight="true" outlineLevel="0" collapsed="false">
      <c r="B35" s="49" t="s">
        <v>160</v>
      </c>
      <c r="C35" s="50" t="s">
        <v>164</v>
      </c>
      <c r="D35" s="50"/>
      <c r="E35" s="50"/>
    </row>
    <row r="36" customFormat="false" ht="24" hidden="false" customHeight="true" outlineLevel="0" collapsed="false">
      <c r="B36" s="49" t="s">
        <v>160</v>
      </c>
      <c r="C36" s="50" t="s">
        <v>165</v>
      </c>
      <c r="D36" s="50"/>
      <c r="E36" s="50"/>
    </row>
    <row r="37" customFormat="false" ht="24" hidden="false" customHeight="true" outlineLevel="0" collapsed="false">
      <c r="B37" s="49" t="s">
        <v>160</v>
      </c>
      <c r="C37" s="50" t="s">
        <v>166</v>
      </c>
      <c r="D37" s="50"/>
      <c r="E37" s="50"/>
    </row>
  </sheetData>
  <mergeCells count="13">
    <mergeCell ref="A2:E2"/>
    <mergeCell ref="A3:E3"/>
    <mergeCell ref="A4:E4"/>
    <mergeCell ref="B5:E8"/>
    <mergeCell ref="A10:E10"/>
    <mergeCell ref="A22:E22"/>
    <mergeCell ref="A31:E31"/>
    <mergeCell ref="C32:E32"/>
    <mergeCell ref="C33:E33"/>
    <mergeCell ref="C34:E34"/>
    <mergeCell ref="C35:E35"/>
    <mergeCell ref="C36:E36"/>
    <mergeCell ref="C37:E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2: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5" min="3" style="1" width="16"/>
    <col collapsed="false" customWidth="true" hidden="false" outlineLevel="0" max="6" min="6" style="1" width="44"/>
    <col collapsed="false" customWidth="true" hidden="false" outlineLevel="0" max="7" min="7" style="1" width="2"/>
  </cols>
  <sheetData>
    <row r="2" customFormat="false" ht="27.75" hidden="false" customHeight="true" outlineLevel="0" collapsed="false">
      <c r="A2" s="14" t="s">
        <v>167</v>
      </c>
      <c r="B2" s="14"/>
      <c r="C2" s="14"/>
      <c r="D2" s="14"/>
      <c r="E2" s="14"/>
      <c r="F2" s="14"/>
    </row>
    <row r="3" customFormat="false" ht="15" hidden="false" customHeight="true" outlineLevel="0" collapsed="false">
      <c r="A3" s="15" t="s">
        <v>168</v>
      </c>
      <c r="B3" s="15"/>
      <c r="C3" s="15"/>
      <c r="D3" s="15"/>
      <c r="E3" s="15"/>
      <c r="F3" s="15"/>
    </row>
    <row r="4" customFormat="false" ht="19.5" hidden="false" customHeight="true" outlineLevel="0" collapsed="false">
      <c r="A4" s="16" t="s">
        <v>169</v>
      </c>
      <c r="B4" s="16"/>
      <c r="C4" s="16"/>
      <c r="D4" s="16"/>
      <c r="E4" s="16"/>
      <c r="F4" s="16"/>
    </row>
    <row r="5" customFormat="false" ht="15" hidden="false" customHeight="true" outlineLevel="0" collapsed="false">
      <c r="B5" s="5" t="s">
        <v>170</v>
      </c>
      <c r="C5" s="5"/>
      <c r="D5" s="5"/>
      <c r="E5" s="5"/>
      <c r="F5" s="5"/>
    </row>
    <row r="6" customFormat="false" ht="15" hidden="false" customHeight="true" outlineLevel="0" collapsed="false">
      <c r="B6" s="5"/>
      <c r="C6" s="5"/>
      <c r="D6" s="5"/>
      <c r="E6" s="5"/>
      <c r="F6" s="5"/>
    </row>
    <row r="7" customFormat="false" ht="15" hidden="false" customHeight="true" outlineLevel="0" collapsed="false">
      <c r="B7" s="5"/>
      <c r="C7" s="5"/>
      <c r="D7" s="5"/>
      <c r="E7" s="5"/>
      <c r="F7" s="5"/>
    </row>
    <row r="9" customFormat="false" ht="19.5" hidden="false" customHeight="true" outlineLevel="0" collapsed="false">
      <c r="A9" s="16" t="s">
        <v>171</v>
      </c>
      <c r="B9" s="16"/>
      <c r="C9" s="16"/>
      <c r="D9" s="16"/>
      <c r="E9" s="16"/>
      <c r="F9" s="16"/>
    </row>
    <row r="10" customFormat="false" ht="15" hidden="false" customHeight="true" outlineLevel="0" collapsed="false">
      <c r="B10" s="51" t="s">
        <v>172</v>
      </c>
      <c r="C10" s="52" t="s">
        <v>29</v>
      </c>
      <c r="D10" s="52" t="s">
        <v>30</v>
      </c>
      <c r="E10" s="53" t="s">
        <v>126</v>
      </c>
      <c r="F10" s="53"/>
    </row>
    <row r="11" customFormat="false" ht="21.75" hidden="false" customHeight="true" outlineLevel="0" collapsed="false">
      <c r="B11" s="19" t="s">
        <v>127</v>
      </c>
      <c r="C11" s="41" t="n">
        <f aca="false">'Baseline Economy'!C35</f>
        <v>6075.02705245455</v>
      </c>
      <c r="D11" s="21" t="s">
        <v>33</v>
      </c>
      <c r="E11" s="54" t="s">
        <v>173</v>
      </c>
      <c r="F11" s="54"/>
    </row>
    <row r="12" customFormat="false" ht="21.75" hidden="false" customHeight="true" outlineLevel="0" collapsed="false">
      <c r="B12" s="19" t="s">
        <v>174</v>
      </c>
      <c r="C12" s="25" t="n">
        <v>30</v>
      </c>
      <c r="D12" s="21" t="s">
        <v>50</v>
      </c>
      <c r="E12" s="54" t="s">
        <v>175</v>
      </c>
      <c r="F12" s="54"/>
    </row>
    <row r="13" customFormat="false" ht="21.75" hidden="false" customHeight="true" outlineLevel="0" collapsed="false">
      <c r="B13" s="19" t="s">
        <v>176</v>
      </c>
      <c r="C13" s="42" t="n">
        <f aca="false">C11*60*C12</f>
        <v>10935048.6944182</v>
      </c>
      <c r="D13" s="21" t="s">
        <v>41</v>
      </c>
      <c r="E13" s="54" t="s">
        <v>177</v>
      </c>
      <c r="F13" s="54"/>
    </row>
    <row r="14" customFormat="false" ht="21.75" hidden="false" customHeight="true" outlineLevel="0" collapsed="false">
      <c r="B14" s="19" t="s">
        <v>178</v>
      </c>
      <c r="C14" s="25" t="n">
        <v>2</v>
      </c>
      <c r="D14" s="21" t="s">
        <v>53</v>
      </c>
      <c r="E14" s="54" t="s">
        <v>179</v>
      </c>
      <c r="F14" s="54"/>
    </row>
    <row r="15" customFormat="false" ht="21.75" hidden="false" customHeight="true" outlineLevel="0" collapsed="false">
      <c r="B15" s="19" t="s">
        <v>180</v>
      </c>
      <c r="C15" s="42" t="n">
        <f aca="false">C11*3600*C14</f>
        <v>43740194.7776728</v>
      </c>
      <c r="D15" s="21" t="s">
        <v>41</v>
      </c>
      <c r="E15" s="54" t="s">
        <v>181</v>
      </c>
      <c r="F15" s="54"/>
    </row>
    <row r="17" customFormat="false" ht="19.5" hidden="false" customHeight="true" outlineLevel="0" collapsed="false">
      <c r="A17" s="16" t="s">
        <v>182</v>
      </c>
      <c r="B17" s="16"/>
      <c r="C17" s="16"/>
      <c r="D17" s="16"/>
      <c r="E17" s="16"/>
      <c r="F17" s="16"/>
    </row>
    <row r="18" customFormat="false" ht="15" hidden="false" customHeight="true" outlineLevel="0" collapsed="false">
      <c r="B18" s="51" t="s">
        <v>146</v>
      </c>
      <c r="C18" s="52" t="s">
        <v>183</v>
      </c>
      <c r="D18" s="52" t="s">
        <v>184</v>
      </c>
      <c r="E18" s="53" t="s">
        <v>126</v>
      </c>
      <c r="F18" s="53"/>
    </row>
    <row r="19" customFormat="false" ht="21.75" hidden="false" customHeight="true" outlineLevel="0" collapsed="false">
      <c r="B19" s="19" t="s">
        <v>185</v>
      </c>
      <c r="C19" s="42" t="n">
        <f aca="false">Parameters!$C$17*Parameters!$C$19</f>
        <v>110000</v>
      </c>
      <c r="D19" s="42" t="n">
        <f aca="false">Parameters!$C$17*Parameters!$C$19</f>
        <v>110000</v>
      </c>
      <c r="E19" s="54" t="s">
        <v>186</v>
      </c>
      <c r="F19" s="54"/>
    </row>
    <row r="20" customFormat="false" ht="21.75" hidden="false" customHeight="true" outlineLevel="0" collapsed="false">
      <c r="B20" s="19" t="s">
        <v>187</v>
      </c>
      <c r="C20" s="55" t="n">
        <f aca="false">Parameters!$C$26</f>
        <v>6</v>
      </c>
      <c r="D20" s="55" t="n">
        <f aca="false">Parameters!$C$27</f>
        <v>8.5</v>
      </c>
      <c r="E20" s="54" t="s">
        <v>188</v>
      </c>
      <c r="F20" s="54"/>
    </row>
    <row r="21" customFormat="false" ht="21.75" hidden="false" customHeight="true" outlineLevel="0" collapsed="false">
      <c r="B21" s="19" t="s">
        <v>189</v>
      </c>
      <c r="C21" s="55" t="n">
        <f aca="false">C20*Parameters!$C$28</f>
        <v>5.52</v>
      </c>
      <c r="D21" s="55" t="n">
        <f aca="false">D20*Parameters!$C$28</f>
        <v>7.82</v>
      </c>
      <c r="E21" s="54" t="s">
        <v>190</v>
      </c>
      <c r="F21" s="54"/>
    </row>
    <row r="22" customFormat="false" ht="21.75" hidden="false" customHeight="true" outlineLevel="0" collapsed="false">
      <c r="B22" s="19" t="s">
        <v>191</v>
      </c>
      <c r="C22" s="42" t="n">
        <f aca="false">C19*C21</f>
        <v>607200</v>
      </c>
      <c r="D22" s="42" t="n">
        <f aca="false">D19*D21</f>
        <v>860200</v>
      </c>
      <c r="E22" s="54" t="s">
        <v>192</v>
      </c>
      <c r="F22" s="54"/>
    </row>
    <row r="23" customFormat="false" ht="21.75" hidden="false" customHeight="true" outlineLevel="0" collapsed="false">
      <c r="B23" s="19" t="s">
        <v>193</v>
      </c>
      <c r="C23" s="47" t="n">
        <f aca="false">C22*Parameters!$C$24/1000</f>
        <v>9108</v>
      </c>
      <c r="D23" s="47" t="n">
        <f aca="false">D22*Parameters!$C$24/1000</f>
        <v>12903</v>
      </c>
      <c r="E23" s="54" t="s">
        <v>194</v>
      </c>
      <c r="F23" s="54"/>
    </row>
    <row r="24" customFormat="false" ht="21.75" hidden="false" customHeight="true" outlineLevel="0" collapsed="false">
      <c r="B24" s="19" t="s">
        <v>195</v>
      </c>
      <c r="C24" s="48" t="n">
        <f aca="false">C23/Parameters!$C$17</f>
        <v>0.04554</v>
      </c>
      <c r="D24" s="48" t="n">
        <f aca="false">D23/Parameters!$C$17</f>
        <v>0.064515</v>
      </c>
      <c r="E24" s="54" t="s">
        <v>196</v>
      </c>
      <c r="F24" s="54"/>
    </row>
    <row r="26" customFormat="false" ht="30" hidden="false" customHeight="true" outlineLevel="0" collapsed="false">
      <c r="B26" s="56" t="s">
        <v>197</v>
      </c>
      <c r="C26" s="57" t="n">
        <f aca="false">D23-C23</f>
        <v>3795</v>
      </c>
      <c r="D26" s="57"/>
      <c r="E26" s="58" t="str">
        <f aca="false">"= +"&amp;TEXT((D23-C23)/C23,"0.0%")&amp;" daily rewarded ad revenue, same audience — purely from reward sizing + placement."</f>
        <v>= +41.7% daily rewarded ad revenue, same audience — purely from reward sizing + placement.</v>
      </c>
      <c r="F26" s="58"/>
    </row>
    <row r="28" customFormat="false" ht="19.5" hidden="false" customHeight="true" outlineLevel="0" collapsed="false">
      <c r="A28" s="16" t="s">
        <v>198</v>
      </c>
      <c r="B28" s="16"/>
      <c r="C28" s="16"/>
      <c r="D28" s="16"/>
      <c r="E28" s="16"/>
      <c r="F28" s="16"/>
    </row>
    <row r="29" customFormat="false" ht="15" hidden="false" customHeight="true" outlineLevel="0" collapsed="false">
      <c r="B29" s="5" t="s">
        <v>199</v>
      </c>
      <c r="C29" s="5"/>
      <c r="D29" s="5"/>
      <c r="E29" s="5"/>
      <c r="F29" s="5"/>
    </row>
    <row r="30" customFormat="false" ht="15" hidden="false" customHeight="true" outlineLevel="0" collapsed="false">
      <c r="B30" s="5"/>
      <c r="C30" s="5"/>
      <c r="D30" s="5"/>
      <c r="E30" s="5"/>
      <c r="F30" s="5"/>
    </row>
    <row r="31" customFormat="false" ht="15" hidden="false" customHeight="true" outlineLevel="0" collapsed="false">
      <c r="B31" s="5"/>
      <c r="C31" s="5"/>
      <c r="D31" s="5"/>
      <c r="E31" s="5"/>
      <c r="F31" s="5"/>
    </row>
  </sheetData>
  <mergeCells count="23">
    <mergeCell ref="A2:F2"/>
    <mergeCell ref="A3:F3"/>
    <mergeCell ref="A4:F4"/>
    <mergeCell ref="B5:F7"/>
    <mergeCell ref="A9:F9"/>
    <mergeCell ref="E10:F10"/>
    <mergeCell ref="E11:F11"/>
    <mergeCell ref="E12:F12"/>
    <mergeCell ref="E13:F13"/>
    <mergeCell ref="E14:F14"/>
    <mergeCell ref="E15:F15"/>
    <mergeCell ref="A17:F17"/>
    <mergeCell ref="E18:F18"/>
    <mergeCell ref="E19:F19"/>
    <mergeCell ref="E20:F20"/>
    <mergeCell ref="E21:F21"/>
    <mergeCell ref="E22:F22"/>
    <mergeCell ref="E23:F23"/>
    <mergeCell ref="E24:F24"/>
    <mergeCell ref="C26:D26"/>
    <mergeCell ref="E26:F26"/>
    <mergeCell ref="A28:F28"/>
    <mergeCell ref="B29: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2: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5" min="3" style="1" width="16"/>
    <col collapsed="false" customWidth="true" hidden="false" outlineLevel="0" max="6" min="6" style="1" width="40"/>
    <col collapsed="false" customWidth="true" hidden="false" outlineLevel="0" max="7" min="7" style="1" width="2"/>
  </cols>
  <sheetData>
    <row r="2" customFormat="false" ht="27.75" hidden="false" customHeight="true" outlineLevel="0" collapsed="false">
      <c r="A2" s="14" t="s">
        <v>200</v>
      </c>
      <c r="B2" s="14"/>
      <c r="C2" s="14"/>
      <c r="D2" s="14"/>
      <c r="E2" s="14"/>
      <c r="F2" s="14"/>
    </row>
    <row r="3" customFormat="false" ht="15" hidden="false" customHeight="true" outlineLevel="0" collapsed="false">
      <c r="A3" s="15" t="s">
        <v>201</v>
      </c>
      <c r="B3" s="15"/>
      <c r="C3" s="15"/>
      <c r="D3" s="15"/>
      <c r="E3" s="15"/>
      <c r="F3" s="15"/>
    </row>
    <row r="4" customFormat="false" ht="19.5" hidden="false" customHeight="true" outlineLevel="0" collapsed="false">
      <c r="A4" s="16" t="s">
        <v>202</v>
      </c>
      <c r="B4" s="16"/>
      <c r="C4" s="16"/>
      <c r="D4" s="16"/>
      <c r="E4" s="16"/>
      <c r="F4" s="16"/>
    </row>
    <row r="5" customFormat="false" ht="15" hidden="false" customHeight="true" outlineLevel="0" collapsed="false">
      <c r="B5" s="59" t="s">
        <v>203</v>
      </c>
      <c r="C5" s="60" t="s">
        <v>204</v>
      </c>
      <c r="D5" s="61" t="s">
        <v>205</v>
      </c>
      <c r="E5" s="61"/>
      <c r="F5" s="61"/>
    </row>
    <row r="6" customFormat="false" ht="19.5" hidden="false" customHeight="true" outlineLevel="0" collapsed="false">
      <c r="B6" s="19" t="s">
        <v>103</v>
      </c>
      <c r="C6" s="62" t="n">
        <f aca="false">Parameters!$C$44</f>
        <v>0.18</v>
      </c>
      <c r="D6" s="54" t="s">
        <v>206</v>
      </c>
      <c r="E6" s="54"/>
      <c r="F6" s="54"/>
    </row>
    <row r="7" customFormat="false" ht="19.5" hidden="false" customHeight="true" outlineLevel="0" collapsed="false">
      <c r="B7" s="19" t="s">
        <v>207</v>
      </c>
      <c r="C7" s="63" t="n">
        <f aca="false">'Loan Desk (A)'!C29</f>
        <v>0.009</v>
      </c>
      <c r="D7" s="54" t="s">
        <v>208</v>
      </c>
      <c r="E7" s="54"/>
      <c r="F7" s="54"/>
    </row>
    <row r="8" customFormat="false" ht="19.5" hidden="false" customHeight="true" outlineLevel="0" collapsed="false">
      <c r="B8" s="19" t="s">
        <v>209</v>
      </c>
      <c r="C8" s="63" t="n">
        <f aca="false">'Ad Tuning (B)'!D24-'Ad Tuning (B)'!C24</f>
        <v>0.018975</v>
      </c>
      <c r="D8" s="54" t="s">
        <v>210</v>
      </c>
      <c r="E8" s="54"/>
      <c r="F8" s="54"/>
    </row>
    <row r="9" customFormat="false" ht="24" hidden="false" customHeight="true" outlineLevel="0" collapsed="false">
      <c r="B9" s="64" t="s">
        <v>211</v>
      </c>
      <c r="C9" s="65" t="n">
        <f aca="false">C6+C7+C8</f>
        <v>0.207975</v>
      </c>
      <c r="D9" s="66" t="str">
        <f aca="false">"= +"&amp;TEXT((C7+C8)/C6,"0.0%")&amp;" vs. baseline ARPDAU (illustrative)."</f>
        <v>= +15.5% vs. baseline ARPDAU (illustrative).</v>
      </c>
      <c r="E9" s="66"/>
      <c r="F9" s="66"/>
    </row>
    <row r="11" customFormat="false" ht="19.5" hidden="false" customHeight="true" outlineLevel="0" collapsed="false">
      <c r="B11" s="19" t="s">
        <v>212</v>
      </c>
      <c r="C11" s="47" t="n">
        <f aca="false">(C7+C8)*Parameters!$C$17</f>
        <v>5595</v>
      </c>
      <c r="D11" s="54" t="s">
        <v>213</v>
      </c>
      <c r="E11" s="54"/>
      <c r="F11" s="54"/>
    </row>
    <row r="12" customFormat="false" ht="19.5" hidden="false" customHeight="true" outlineLevel="0" collapsed="false">
      <c r="B12" s="19" t="s">
        <v>214</v>
      </c>
      <c r="C12" s="47" t="n">
        <f aca="false">C11*365</f>
        <v>2042175</v>
      </c>
      <c r="D12" s="54" t="s">
        <v>215</v>
      </c>
      <c r="E12" s="54"/>
      <c r="F12" s="54"/>
    </row>
    <row r="14" customFormat="false" ht="19.5" hidden="false" customHeight="true" outlineLevel="0" collapsed="false">
      <c r="A14" s="16" t="s">
        <v>216</v>
      </c>
      <c r="B14" s="16"/>
      <c r="C14" s="16"/>
      <c r="D14" s="16"/>
      <c r="E14" s="16"/>
      <c r="F14" s="16"/>
    </row>
    <row r="16" customFormat="false" ht="15" hidden="false" customHeight="true" outlineLevel="0" collapsed="false">
      <c r="B16" s="67" t="s">
        <v>217</v>
      </c>
      <c r="C16" s="68" t="n">
        <v>0.04</v>
      </c>
      <c r="D16" s="68" t="n">
        <v>0.06</v>
      </c>
      <c r="E16" s="68" t="n">
        <v>0.08</v>
      </c>
      <c r="F16" s="68" t="n">
        <v>0.1</v>
      </c>
      <c r="G16" s="68" t="n">
        <v>0.12</v>
      </c>
    </row>
    <row r="17" customFormat="false" ht="15" hidden="false" customHeight="true" outlineLevel="0" collapsed="false">
      <c r="B17" s="69" t="n">
        <v>0.25</v>
      </c>
      <c r="C17" s="70" t="n">
        <f aca="false">$C$23*$B17*C$16*Parameters!$C$36*Parameters!$C$43</f>
        <v>500</v>
      </c>
      <c r="D17" s="70" t="n">
        <f aca="false">$C$23*$B17*D$16*Parameters!$C$36*Parameters!$C$43</f>
        <v>750</v>
      </c>
      <c r="E17" s="70" t="n">
        <f aca="false">$C$23*$B17*E$16*Parameters!$C$36*Parameters!$C$43</f>
        <v>1000</v>
      </c>
      <c r="F17" s="70" t="n">
        <f aca="false">$C$23*$B17*F$16*Parameters!$C$36*Parameters!$C$43</f>
        <v>1250</v>
      </c>
      <c r="G17" s="70" t="n">
        <f aca="false">$C$23*$B17*G$16*Parameters!$C$36*Parameters!$C$43</f>
        <v>1500</v>
      </c>
    </row>
    <row r="18" customFormat="false" ht="15" hidden="false" customHeight="true" outlineLevel="0" collapsed="false">
      <c r="B18" s="69" t="n">
        <v>0.35</v>
      </c>
      <c r="C18" s="70" t="n">
        <f aca="false">$C$23*$B18*C$16*Parameters!$C$36*Parameters!$C$43</f>
        <v>700</v>
      </c>
      <c r="D18" s="70" t="n">
        <f aca="false">$C$23*$B18*D$16*Parameters!$C$36*Parameters!$C$43</f>
        <v>1050</v>
      </c>
      <c r="E18" s="70" t="n">
        <f aca="false">$C$23*$B18*E$16*Parameters!$C$36*Parameters!$C$43</f>
        <v>1400</v>
      </c>
      <c r="F18" s="70" t="n">
        <f aca="false">$C$23*$B18*F$16*Parameters!$C$36*Parameters!$C$43</f>
        <v>1750</v>
      </c>
      <c r="G18" s="70" t="n">
        <f aca="false">$C$23*$B18*G$16*Parameters!$C$36*Parameters!$C$43</f>
        <v>2100</v>
      </c>
    </row>
    <row r="19" customFormat="false" ht="15" hidden="false" customHeight="true" outlineLevel="0" collapsed="false">
      <c r="B19" s="69" t="n">
        <v>0.45</v>
      </c>
      <c r="C19" s="70" t="n">
        <f aca="false">$C$23*$B19*C$16*Parameters!$C$36*Parameters!$C$43</f>
        <v>900</v>
      </c>
      <c r="D19" s="70" t="n">
        <f aca="false">$C$23*$B19*D$16*Parameters!$C$36*Parameters!$C$43</f>
        <v>1350</v>
      </c>
      <c r="E19" s="71" t="n">
        <f aca="false">$C$23*$B19*E$16*Parameters!$C$36*Parameters!$C$43</f>
        <v>1800</v>
      </c>
      <c r="F19" s="70" t="n">
        <f aca="false">$C$23*$B19*F$16*Parameters!$C$36*Parameters!$C$43</f>
        <v>2250</v>
      </c>
      <c r="G19" s="70" t="n">
        <f aca="false">$C$23*$B19*G$16*Parameters!$C$36*Parameters!$C$43</f>
        <v>2700</v>
      </c>
    </row>
    <row r="20" customFormat="false" ht="15" hidden="false" customHeight="true" outlineLevel="0" collapsed="false">
      <c r="B20" s="69" t="n">
        <v>0.55</v>
      </c>
      <c r="C20" s="70" t="n">
        <f aca="false">$C$23*$B20*C$16*Parameters!$C$36*Parameters!$C$43</f>
        <v>1100</v>
      </c>
      <c r="D20" s="70" t="n">
        <f aca="false">$C$23*$B20*D$16*Parameters!$C$36*Parameters!$C$43</f>
        <v>1650</v>
      </c>
      <c r="E20" s="70" t="n">
        <f aca="false">$C$23*$B20*E$16*Parameters!$C$36*Parameters!$C$43</f>
        <v>2200</v>
      </c>
      <c r="F20" s="70" t="n">
        <f aca="false">$C$23*$B20*F$16*Parameters!$C$36*Parameters!$C$43</f>
        <v>2750</v>
      </c>
      <c r="G20" s="70" t="n">
        <f aca="false">$C$23*$B20*G$16*Parameters!$C$36*Parameters!$C$43</f>
        <v>3300</v>
      </c>
    </row>
    <row r="21" customFormat="false" ht="15" hidden="false" customHeight="true" outlineLevel="0" collapsed="false">
      <c r="B21" s="69" t="n">
        <v>0.65</v>
      </c>
      <c r="C21" s="70" t="n">
        <f aca="false">$C$23*$B21*C$16*Parameters!$C$36*Parameters!$C$43</f>
        <v>1300</v>
      </c>
      <c r="D21" s="70" t="n">
        <f aca="false">$C$23*$B21*D$16*Parameters!$C$36*Parameters!$C$43</f>
        <v>1950</v>
      </c>
      <c r="E21" s="70" t="n">
        <f aca="false">$C$23*$B21*E$16*Parameters!$C$36*Parameters!$C$43</f>
        <v>2600</v>
      </c>
      <c r="F21" s="70" t="n">
        <f aca="false">$C$23*$B21*F$16*Parameters!$C$36*Parameters!$C$43</f>
        <v>3250</v>
      </c>
      <c r="G21" s="70" t="n">
        <f aca="false">$C$23*$B21*G$16*Parameters!$C$36*Parameters!$C$43</f>
        <v>3900</v>
      </c>
    </row>
    <row r="23" customFormat="false" ht="15" hidden="false" customHeight="true" outlineLevel="0" collapsed="false">
      <c r="B23" s="72" t="s">
        <v>218</v>
      </c>
      <c r="C23" s="73" t="n">
        <f aca="false">Parameters!$C$17</f>
        <v>200000</v>
      </c>
    </row>
    <row r="25" customFormat="false" ht="15" hidden="false" customHeight="true" outlineLevel="0" collapsed="false">
      <c r="B25" s="74" t="s">
        <v>219</v>
      </c>
      <c r="C25" s="74"/>
      <c r="D25" s="74"/>
      <c r="E25" s="74"/>
      <c r="F25" s="74"/>
    </row>
    <row r="27" customFormat="false" ht="19.5" hidden="false" customHeight="true" outlineLevel="0" collapsed="false">
      <c r="A27" s="16" t="s">
        <v>220</v>
      </c>
      <c r="B27" s="16"/>
      <c r="C27" s="16"/>
      <c r="D27" s="16"/>
      <c r="E27" s="16"/>
      <c r="F27" s="16"/>
    </row>
    <row r="28" customFormat="false" ht="30" hidden="false" customHeight="true" outlineLevel="0" collapsed="false">
      <c r="B28" s="75" t="s">
        <v>221</v>
      </c>
      <c r="C28" s="76" t="s">
        <v>222</v>
      </c>
      <c r="D28" s="76"/>
      <c r="E28" s="76"/>
      <c r="F28" s="76"/>
    </row>
    <row r="29" customFormat="false" ht="30" hidden="false" customHeight="true" outlineLevel="0" collapsed="false">
      <c r="B29" s="75" t="s">
        <v>223</v>
      </c>
      <c r="C29" s="76" t="s">
        <v>224</v>
      </c>
      <c r="D29" s="76"/>
      <c r="E29" s="76"/>
      <c r="F29" s="76"/>
    </row>
    <row r="30" customFormat="false" ht="30" hidden="false" customHeight="true" outlineLevel="0" collapsed="false">
      <c r="B30" s="75" t="s">
        <v>225</v>
      </c>
      <c r="C30" s="76" t="s">
        <v>226</v>
      </c>
      <c r="D30" s="76"/>
      <c r="E30" s="76"/>
      <c r="F30" s="76"/>
    </row>
    <row r="31" customFormat="false" ht="30" hidden="false" customHeight="true" outlineLevel="0" collapsed="false">
      <c r="B31" s="75" t="s">
        <v>227</v>
      </c>
      <c r="C31" s="76" t="s">
        <v>228</v>
      </c>
      <c r="D31" s="76"/>
      <c r="E31" s="76"/>
      <c r="F31" s="76"/>
    </row>
    <row r="32" customFormat="false" ht="30" hidden="false" customHeight="true" outlineLevel="0" collapsed="false">
      <c r="B32" s="75" t="s">
        <v>229</v>
      </c>
      <c r="C32" s="76" t="s">
        <v>230</v>
      </c>
      <c r="D32" s="76"/>
      <c r="E32" s="76"/>
      <c r="F32" s="76"/>
    </row>
    <row r="33" customFormat="false" ht="30" hidden="false" customHeight="true" outlineLevel="0" collapsed="false">
      <c r="B33" s="75" t="s">
        <v>231</v>
      </c>
      <c r="C33" s="76" t="s">
        <v>232</v>
      </c>
      <c r="D33" s="76"/>
      <c r="E33" s="76"/>
      <c r="F33" s="76"/>
    </row>
  </sheetData>
  <mergeCells count="19">
    <mergeCell ref="A2:F2"/>
    <mergeCell ref="A3:F3"/>
    <mergeCell ref="A4:F4"/>
    <mergeCell ref="D5:F5"/>
    <mergeCell ref="D6:F6"/>
    <mergeCell ref="D7:F7"/>
    <mergeCell ref="D8:F8"/>
    <mergeCell ref="D9:F9"/>
    <mergeCell ref="D11:F11"/>
    <mergeCell ref="D12:F12"/>
    <mergeCell ref="A14:F14"/>
    <mergeCell ref="B25:F25"/>
    <mergeCell ref="A27:F27"/>
    <mergeCell ref="C28:F28"/>
    <mergeCell ref="C29:F29"/>
    <mergeCell ref="C30:F30"/>
    <mergeCell ref="C31:F31"/>
    <mergeCell ref="C32:F32"/>
    <mergeCell ref="C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2:C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58"/>
    <col collapsed="false" customWidth="true" hidden="false" outlineLevel="0" max="4" min="4" style="1" width="2"/>
  </cols>
  <sheetData>
    <row r="2" customFormat="false" ht="27.75" hidden="false" customHeight="true" outlineLevel="0" collapsed="false">
      <c r="A2" s="14" t="s">
        <v>233</v>
      </c>
      <c r="B2" s="14"/>
      <c r="C2" s="14"/>
    </row>
    <row r="3" customFormat="false" ht="15" hidden="false" customHeight="true" outlineLevel="0" collapsed="false">
      <c r="A3" s="15" t="s">
        <v>234</v>
      </c>
      <c r="B3" s="15"/>
      <c r="C3" s="15"/>
    </row>
    <row r="4" customFormat="false" ht="19.5" hidden="false" customHeight="true" outlineLevel="0" collapsed="false">
      <c r="A4" s="16" t="s">
        <v>235</v>
      </c>
      <c r="B4" s="16"/>
      <c r="C4" s="16"/>
    </row>
    <row r="5" customFormat="false" ht="15" hidden="false" customHeight="true" outlineLevel="0" collapsed="false">
      <c r="B5" s="17" t="s">
        <v>236</v>
      </c>
      <c r="C5" s="17" t="s">
        <v>205</v>
      </c>
    </row>
    <row r="6" customFormat="false" ht="25.5" hidden="false" customHeight="true" outlineLevel="0" collapsed="false">
      <c r="B6" s="77" t="s">
        <v>237</v>
      </c>
      <c r="C6" s="22" t="s">
        <v>238</v>
      </c>
    </row>
    <row r="7" customFormat="false" ht="25.5" hidden="false" customHeight="true" outlineLevel="0" collapsed="false">
      <c r="B7" s="77" t="s">
        <v>239</v>
      </c>
      <c r="C7" s="22" t="s">
        <v>240</v>
      </c>
    </row>
    <row r="8" customFormat="false" ht="25.5" hidden="false" customHeight="true" outlineLevel="0" collapsed="false">
      <c r="B8" s="77" t="s">
        <v>241</v>
      </c>
      <c r="C8" s="22" t="s">
        <v>240</v>
      </c>
    </row>
    <row r="9" customFormat="false" ht="25.5" hidden="false" customHeight="true" outlineLevel="0" collapsed="false">
      <c r="B9" s="77" t="s">
        <v>242</v>
      </c>
      <c r="C9" s="22" t="s">
        <v>240</v>
      </c>
    </row>
    <row r="10" customFormat="false" ht="25.5" hidden="false" customHeight="true" outlineLevel="0" collapsed="false">
      <c r="B10" s="77" t="s">
        <v>243</v>
      </c>
      <c r="C10" s="22" t="s">
        <v>244</v>
      </c>
    </row>
    <row r="11" customFormat="false" ht="25.5" hidden="false" customHeight="true" outlineLevel="0" collapsed="false">
      <c r="B11" s="77" t="s">
        <v>245</v>
      </c>
      <c r="C11" s="22" t="s">
        <v>246</v>
      </c>
    </row>
    <row r="12" customFormat="false" ht="25.5" hidden="false" customHeight="true" outlineLevel="0" collapsed="false">
      <c r="B12" s="77" t="s">
        <v>247</v>
      </c>
      <c r="C12" s="22" t="s">
        <v>248</v>
      </c>
    </row>
    <row r="13" customFormat="false" ht="25.5" hidden="false" customHeight="true" outlineLevel="0" collapsed="false">
      <c r="B13" s="77" t="s">
        <v>249</v>
      </c>
      <c r="C13" s="22" t="s">
        <v>250</v>
      </c>
    </row>
    <row r="14" customFormat="false" ht="25.5" hidden="false" customHeight="true" outlineLevel="0" collapsed="false">
      <c r="B14" s="77" t="s">
        <v>251</v>
      </c>
      <c r="C14" s="22" t="s">
        <v>252</v>
      </c>
    </row>
    <row r="15" customFormat="false" ht="25.5" hidden="false" customHeight="true" outlineLevel="0" collapsed="false">
      <c r="B15" s="77" t="s">
        <v>253</v>
      </c>
      <c r="C15" s="22" t="s">
        <v>254</v>
      </c>
    </row>
    <row r="16" customFormat="false" ht="25.5" hidden="false" customHeight="true" outlineLevel="0" collapsed="false">
      <c r="B16" s="77" t="s">
        <v>255</v>
      </c>
      <c r="C16" s="22" t="s">
        <v>256</v>
      </c>
    </row>
    <row r="17" customFormat="false" ht="25.5" hidden="false" customHeight="true" outlineLevel="0" collapsed="false">
      <c r="B17" s="77" t="s">
        <v>257</v>
      </c>
      <c r="C17" s="22" t="s">
        <v>258</v>
      </c>
    </row>
    <row r="19" customFormat="false" ht="19.5" hidden="false" customHeight="true" outlineLevel="0" collapsed="false">
      <c r="A19" s="16" t="s">
        <v>259</v>
      </c>
      <c r="B19" s="16"/>
      <c r="C19" s="16"/>
    </row>
    <row r="20" customFormat="false" ht="15" hidden="false" customHeight="true" outlineLevel="0" collapsed="false">
      <c r="B20" s="78" t="s">
        <v>260</v>
      </c>
      <c r="C20" s="78" t="s">
        <v>261</v>
      </c>
    </row>
    <row r="21" customFormat="false" ht="27.75" hidden="false" customHeight="true" outlineLevel="0" collapsed="false">
      <c r="B21" s="77" t="s">
        <v>262</v>
      </c>
      <c r="C21" s="22" t="s">
        <v>263</v>
      </c>
    </row>
    <row r="22" customFormat="false" ht="27.75" hidden="false" customHeight="true" outlineLevel="0" collapsed="false">
      <c r="B22" s="77" t="s">
        <v>264</v>
      </c>
      <c r="C22" s="22" t="s">
        <v>265</v>
      </c>
    </row>
    <row r="23" customFormat="false" ht="27.75" hidden="false" customHeight="true" outlineLevel="0" collapsed="false">
      <c r="B23" s="77" t="s">
        <v>266</v>
      </c>
      <c r="C23" s="22" t="s">
        <v>267</v>
      </c>
    </row>
    <row r="24" customFormat="false" ht="27.75" hidden="false" customHeight="true" outlineLevel="0" collapsed="false">
      <c r="B24" s="77" t="s">
        <v>268</v>
      </c>
      <c r="C24" s="22" t="s">
        <v>269</v>
      </c>
    </row>
    <row r="25" customFormat="false" ht="27.75" hidden="false" customHeight="true" outlineLevel="0" collapsed="false">
      <c r="B25" s="77" t="s">
        <v>270</v>
      </c>
      <c r="C25" s="22" t="s">
        <v>271</v>
      </c>
    </row>
    <row r="26" customFormat="false" ht="27.75" hidden="false" customHeight="true" outlineLevel="0" collapsed="false">
      <c r="B26" s="77" t="s">
        <v>272</v>
      </c>
      <c r="C26" s="22" t="s">
        <v>273</v>
      </c>
    </row>
    <row r="27" customFormat="false" ht="27.75" hidden="false" customHeight="true" outlineLevel="0" collapsed="false">
      <c r="B27" s="77" t="s">
        <v>274</v>
      </c>
      <c r="C27" s="22" t="s">
        <v>275</v>
      </c>
    </row>
    <row r="29" customFormat="false" ht="15" hidden="false" customHeight="true" outlineLevel="0" collapsed="false">
      <c r="B29" s="79" t="s">
        <v>276</v>
      </c>
      <c r="C29" s="79"/>
    </row>
    <row r="30" customFormat="false" ht="15" hidden="false" customHeight="true" outlineLevel="0" collapsed="false">
      <c r="B30" s="79"/>
      <c r="C30" s="79"/>
    </row>
  </sheetData>
  <mergeCells count="5">
    <mergeCell ref="A2:C2"/>
    <mergeCell ref="A3:C3"/>
    <mergeCell ref="A4:C4"/>
    <mergeCell ref="A19:C19"/>
    <mergeCell ref="B29: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2026-06-20T06:21:10Z</dcterms:created>
  <dc:creator>openpyxl</dc:creator>
  <dc:description/>
  <dc:language>en-US</dc:language>
  <cp:lastModifiedBy/>
  <dcterms:modified xsi:type="dcterms:W3CDTF">2026-06-20T06:22:25Z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